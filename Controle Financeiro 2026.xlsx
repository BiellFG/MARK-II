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4"/>
    <sheet state="visible" name="Dashboard" sheetId="2" r:id="rId5"/>
    <sheet state="visible" name="Investimento " sheetId="3" r:id="rId6"/>
    <sheet state="hidden" name="Config" sheetId="4" r:id="rId7"/>
  </sheets>
  <definedNames/>
  <calcPr/>
  <extLst>
    <ext uri="GoogleSheetsCustomDataVersion2">
      <go:sheetsCustomData xmlns:go="http://customooxmlschemas.google.com/" r:id="rId8" roundtripDataChecksum="IHSeWcx0AXaQhzWbKVPufHrFqon/3dZvQ/iCGj4YpL4="/>
    </ext>
  </extLst>
</workbook>
</file>

<file path=xl/sharedStrings.xml><?xml version="1.0" encoding="utf-8"?>
<sst xmlns="http://schemas.openxmlformats.org/spreadsheetml/2006/main" count="192" uniqueCount="75">
  <si>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</si>
  <si>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</si>
  <si>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</si>
  <si>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</si>
  <si>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</si>
  <si>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</si>
  <si>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</si>
  <si>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</si>
  <si>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</si>
  <si>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</si>
  <si>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</si>
  <si>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</si>
  <si>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</si>
  <si>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Aluguel</t>
  </si>
  <si>
    <t>Luz</t>
  </si>
  <si>
    <t xml:space="preserve">Agua </t>
  </si>
  <si>
    <t>-</t>
  </si>
  <si>
    <t>Internet</t>
  </si>
  <si>
    <t>Acordo Inter</t>
  </si>
  <si>
    <t>Viagem</t>
  </si>
  <si>
    <t>Spotify</t>
  </si>
  <si>
    <t xml:space="preserve">Google One </t>
  </si>
  <si>
    <t>Meli+</t>
  </si>
  <si>
    <t>YouTube Premium</t>
  </si>
  <si>
    <t>Prime Video</t>
  </si>
  <si>
    <t>Acordo Nubank</t>
  </si>
  <si>
    <t xml:space="preserve">Renata boticario </t>
  </si>
  <si>
    <t>Emprestimo Bradesco</t>
  </si>
  <si>
    <t>Cartão de Credito Nubank</t>
  </si>
  <si>
    <t xml:space="preserve">Bahia </t>
  </si>
  <si>
    <t>Lucas Cartão de Credito</t>
  </si>
  <si>
    <t xml:space="preserve"> </t>
  </si>
  <si>
    <t>Vivo</t>
  </si>
  <si>
    <t>Mayara</t>
  </si>
  <si>
    <t>Emprestimo</t>
  </si>
  <si>
    <t>Caio - Fone</t>
  </si>
  <si>
    <t xml:space="preserve">Acordou cartão de crédito Bradesco </t>
  </si>
  <si>
    <t>Gasto Mensal</t>
  </si>
  <si>
    <t>Comparação com mês anterior:</t>
  </si>
  <si>
    <t>← Clique na célula e escolha a despesa</t>
  </si>
  <si>
    <t xml:space="preserve">Investimento </t>
  </si>
  <si>
    <t>Parametros Globais</t>
  </si>
  <si>
    <t>Hoje</t>
  </si>
  <si>
    <t>Mês Atual</t>
  </si>
  <si>
    <t>Aba Dados: Card 1</t>
  </si>
  <si>
    <t>Aba Dados: Card 3</t>
  </si>
  <si>
    <t>Título</t>
  </si>
  <si>
    <t>Mês Atual:</t>
  </si>
  <si>
    <t>Top 3 Gastos</t>
  </si>
  <si>
    <t>Mês</t>
  </si>
  <si>
    <t>Valor Mês</t>
  </si>
  <si>
    <t>Valor Mês Anterior</t>
  </si>
  <si>
    <t>Diferença</t>
  </si>
  <si>
    <t>Aba Dados: Card 2</t>
  </si>
  <si>
    <t>Gastos Mensais</t>
  </si>
  <si>
    <t>Valor + Alto</t>
  </si>
  <si>
    <t>Mínimo</t>
  </si>
  <si>
    <t>Valor + Baixo</t>
  </si>
  <si>
    <t>Aba Dados: Card 4</t>
  </si>
  <si>
    <t>Categoria com maior valor por ano</t>
  </si>
  <si>
    <t>Maior Categoria</t>
  </si>
  <si>
    <t>Valor</t>
  </si>
  <si>
    <t>%</t>
  </si>
  <si>
    <t>Aba Dashboard</t>
  </si>
  <si>
    <t>Título1</t>
  </si>
  <si>
    <t>Título2</t>
  </si>
  <si>
    <t>Gastos Mensais - Despesa Específica:</t>
  </si>
  <si>
    <t>Título3</t>
  </si>
  <si>
    <t>Top 5 Gastos no ano</t>
  </si>
  <si>
    <t>Despesa</t>
  </si>
  <si>
    <t>frequencia</t>
  </si>
  <si>
    <t>Valor final</t>
  </si>
  <si>
    <t>Top 5</t>
  </si>
  <si>
    <t>Título4</t>
  </si>
  <si>
    <t>Gasto Médio Mensal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</si>
</sst>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&quot;R$&quot;\ * #,##0.0_-;\-&quot;R$&quot;\ * #,##0.0_-;_-&quot;R$&quot;\ * &quot;-&quot;??_-;_-@"/>
    <numFmt numFmtId="165" formatCode="_-&quot;R$&quot;\ * #,##0.00_-;\-&quot;R$&quot;\ * #,##0.00_-;_-&quot;R$&quot;\ * &quot;-&quot;??_-;_-@"/>
    <numFmt numFmtId="166" formatCode="[Red]\+0.0%;\-0.0%"/>
    <numFmt numFmtId="167" formatCode="mmmm"/>
    <numFmt numFmtId="168" formatCode="0.0%"/>
    <numFmt numFmtId="169" formatCode="_-&quot;R$&quot;\ * #,##0_-;\-&quot;R$&quot;\ * #,##0_-;_-&quot;R$&quot;\ * &quot;-&quot;??_-;_-@"/>
  </numFmts>
  <fonts count="17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Calibri"/>
    </font>
    <font>
      <b/>
      <sz val="14.0"/>
      <color theme="1"/>
      <name val="Calibri"/>
    </font>
    <font>
      <sz val="8.0"/>
      <color rgb="FF7F7F7F"/>
      <name val="Calibri"/>
    </font>
    <font>
      <b/>
      <sz val="10.0"/>
      <color theme="1"/>
      <name val="Calibri"/>
    </font>
    <font>
      <b/>
      <sz val="8.0"/>
      <color theme="1"/>
      <name val="Calibri"/>
    </font>
    <font>
      <b/>
      <sz val="8.0"/>
      <color rgb="FF000000"/>
      <name val="Calibri"/>
    </font>
    <font>
      <b/>
      <sz val="11.0"/>
      <color theme="1"/>
      <name val="Calibri"/>
    </font>
    <font>
      <b/>
      <sz val="10.0"/>
      <color rgb="FF4B8677"/>
      <name val="Calibri"/>
    </font>
    <font/>
    <font>
      <b/>
      <sz val="11.0"/>
      <color rgb="FF4B8677"/>
      <name val="Calibri"/>
    </font>
    <font>
      <b/>
      <sz val="12.0"/>
      <color rgb="FFF2F2F2"/>
      <name val="Calibri"/>
    </font>
    <font>
      <sz val="9.0"/>
      <color rgb="FFF2F2F2"/>
      <name val="Calibri"/>
    </font>
    <font>
      <sz val="10.0"/>
      <color theme="1"/>
      <name val="Calibri"/>
    </font>
    <font>
      <sz val="10.0"/>
      <color rgb="FF4B8677"/>
      <name val="Calibri"/>
    </font>
    <font>
      <b/>
      <sz val="11.0"/>
      <color rgb="FF595959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8F9FB"/>
        <bgColor rgb="FFF8F9FB"/>
      </patternFill>
    </fill>
    <fill>
      <patternFill patternType="solid">
        <fgColor rgb="FF95D7CF"/>
        <bgColor rgb="FF95D7CF"/>
      </patternFill>
    </fill>
    <fill>
      <patternFill patternType="solid">
        <fgColor rgb="FF47B9AB"/>
        <bgColor rgb="FF47B9AB"/>
      </patternFill>
    </fill>
    <fill>
      <patternFill patternType="solid">
        <fgColor rgb="FFFFFFFF"/>
        <bgColor rgb="FFFFFFFF"/>
      </patternFill>
    </fill>
    <fill>
      <patternFill patternType="solid">
        <fgColor rgb="FFD2EEEB"/>
        <bgColor rgb="FFD2EEEB"/>
      </patternFill>
    </fill>
    <fill>
      <patternFill patternType="solid">
        <fgColor theme="0"/>
        <bgColor theme="0"/>
      </patternFill>
    </fill>
    <fill>
      <patternFill patternType="solid">
        <fgColor rgb="FF4B8677"/>
        <bgColor rgb="FF4B8677"/>
      </patternFill>
    </fill>
    <fill>
      <patternFill patternType="solid">
        <fgColor rgb="FFFF0000"/>
        <bgColor rgb="FFFF0000"/>
      </patternFill>
    </fill>
    <fill>
      <patternFill patternType="solid">
        <fgColor rgb="FFDAF1EE"/>
        <bgColor rgb="FFDAF1EE"/>
      </patternFill>
    </fill>
    <fill>
      <patternFill patternType="solid">
        <fgColor rgb="FFF9D8DD"/>
        <bgColor rgb="FFF9D8DD"/>
      </patternFill>
    </fill>
  </fills>
  <borders count="19">
    <border/>
    <border>
      <left/>
      <right/>
      <top/>
      <bottom/>
    </border>
    <border>
      <left style="thick">
        <color rgb="FFF8F9FB"/>
      </left>
      <right style="thick">
        <color rgb="FFF8F9FB"/>
      </right>
      <top style="thick">
        <color rgb="FFF8F9FB"/>
      </top>
      <bottom/>
    </border>
    <border>
      <left style="thick">
        <color rgb="FFF8F9FB"/>
      </left>
      <right/>
      <top style="thick">
        <color rgb="FFF8F9FB"/>
      </top>
      <bottom style="thick">
        <color rgb="FFF8F9FB"/>
      </bottom>
    </border>
    <border>
      <left style="thin">
        <color rgb="FF95D7CF"/>
      </left>
      <right style="thin">
        <color rgb="FF95D7CF"/>
      </right>
      <top style="thin">
        <color rgb="FF95D7CF"/>
      </top>
      <bottom style="thin">
        <color rgb="FF95D7CF"/>
      </bottom>
    </border>
    <border>
      <left style="thin">
        <color rgb="FF95D7CF"/>
      </left>
      <top style="thin">
        <color rgb="FF95D7CF"/>
      </top>
      <bottom style="thin">
        <color rgb="FF95D7CF"/>
      </bottom>
    </border>
    <border>
      <top style="thin">
        <color rgb="FF95D7CF"/>
      </top>
      <bottom style="thin">
        <color rgb="FF95D7CF"/>
      </bottom>
    </border>
    <border>
      <right style="thin">
        <color rgb="FF95D7CF"/>
      </right>
      <top style="thin">
        <color rgb="FF95D7CF"/>
      </top>
      <bottom style="thin">
        <color rgb="FF95D7CF"/>
      </bottom>
    </border>
    <border>
      <left style="thin">
        <color rgb="FF95D7CF"/>
      </left>
      <right style="thin">
        <color theme="0"/>
      </right>
      <top style="thin">
        <color rgb="FF95D7CF"/>
      </top>
      <bottom style="thin">
        <color rgb="FF95D7CF"/>
      </bottom>
    </border>
    <border>
      <left style="thin">
        <color theme="0"/>
      </left>
      <right style="thin">
        <color theme="0"/>
      </right>
      <top style="thin">
        <color rgb="FF95D7CF"/>
      </top>
      <bottom style="thin">
        <color rgb="FF95D7CF"/>
      </bottom>
    </border>
    <border>
      <left style="thin">
        <color theme="0"/>
      </left>
      <right style="thin">
        <color rgb="FF95D7CF"/>
      </right>
      <top style="thin">
        <color rgb="FF95D7CF"/>
      </top>
      <bottom style="thin">
        <color rgb="FF95D7CF"/>
      </bottom>
    </border>
    <border>
      <left style="thin">
        <color rgb="FF95D7CF"/>
      </left>
      <right style="thin">
        <color rgb="FF95D7CF"/>
      </right>
      <top style="thin">
        <color rgb="FF95D7CF"/>
      </top>
      <bottom/>
    </border>
    <border>
      <left/>
      <top style="thin">
        <color rgb="FF95D7CF"/>
      </top>
      <bottom/>
    </border>
    <border>
      <right style="thin">
        <color theme="0"/>
      </right>
      <top style="thin">
        <color rgb="FF95D7CF"/>
      </top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1" fillId="3" fontId="1" numFmtId="0" xfId="0" applyAlignment="1" applyBorder="1" applyFont="1">
      <alignment horizontal="center" vertical="center"/>
    </xf>
    <xf borderId="2" fillId="4" fontId="2" numFmtId="0" xfId="0" applyAlignment="1" applyBorder="1" applyFill="1" applyFont="1">
      <alignment horizontal="center" vertical="center"/>
    </xf>
    <xf borderId="3" fillId="5" fontId="3" numFmtId="0" xfId="0" applyAlignment="1" applyBorder="1" applyFill="1" applyFont="1">
      <alignment horizontal="right" vertical="center"/>
    </xf>
    <xf borderId="1" fillId="3" fontId="4" numFmtId="0" xfId="0" applyBorder="1" applyFont="1"/>
    <xf borderId="3" fillId="4" fontId="5" numFmtId="0" xfId="0" applyAlignment="1" applyBorder="1" applyFont="1">
      <alignment horizontal="left" vertical="center"/>
    </xf>
    <xf borderId="4" fillId="2" fontId="6" numFmtId="164" xfId="0" applyAlignment="1" applyBorder="1" applyFont="1" applyNumberFormat="1">
      <alignment horizontal="center" vertical="center"/>
    </xf>
    <xf borderId="4" fillId="6" fontId="6" numFmtId="164" xfId="0" applyAlignment="1" applyBorder="1" applyFill="1" applyFont="1" applyNumberFormat="1">
      <alignment horizontal="center" vertical="center"/>
    </xf>
    <xf borderId="4" fillId="7" fontId="6" numFmtId="165" xfId="0" applyAlignment="1" applyBorder="1" applyFill="1" applyFont="1" applyNumberFormat="1">
      <alignment horizontal="center" vertical="center"/>
    </xf>
    <xf borderId="4" fillId="2" fontId="6" numFmtId="164" xfId="0" applyAlignment="1" applyBorder="1" applyFont="1" applyNumberFormat="1">
      <alignment horizontal="center" readingOrder="0" vertical="center"/>
    </xf>
    <xf borderId="4" fillId="6" fontId="6" numFmtId="164" xfId="0" applyAlignment="1" applyBorder="1" applyFont="1" applyNumberFormat="1">
      <alignment horizontal="center" readingOrder="0" vertical="center"/>
    </xf>
    <xf borderId="4" fillId="8" fontId="6" numFmtId="164" xfId="0" applyAlignment="1" applyBorder="1" applyFill="1" applyFont="1" applyNumberFormat="1">
      <alignment horizontal="center" readingOrder="0" vertical="center"/>
    </xf>
    <xf borderId="3" fillId="4" fontId="5" numFmtId="0" xfId="0" applyAlignment="1" applyBorder="1" applyFont="1">
      <alignment horizontal="left" readingOrder="0" vertical="center"/>
    </xf>
    <xf borderId="4" fillId="3" fontId="6" numFmtId="164" xfId="0" applyAlignment="1" applyBorder="1" applyFont="1" applyNumberFormat="1">
      <alignment horizontal="center" vertical="center"/>
    </xf>
    <xf borderId="4" fillId="3" fontId="6" numFmtId="164" xfId="0" applyAlignment="1" applyBorder="1" applyFont="1" applyNumberFormat="1">
      <alignment horizontal="center" readingOrder="0" vertical="center"/>
    </xf>
    <xf borderId="4" fillId="6" fontId="7" numFmtId="164" xfId="0" applyAlignment="1" applyBorder="1" applyFont="1" applyNumberFormat="1">
      <alignment horizontal="center" readingOrder="0" vertical="center"/>
    </xf>
    <xf borderId="5" fillId="6" fontId="6" numFmtId="164" xfId="0" applyAlignment="1" applyBorder="1" applyFont="1" applyNumberFormat="1">
      <alignment horizontal="center" vertical="center"/>
    </xf>
    <xf borderId="6" fillId="6" fontId="6" numFmtId="164" xfId="0" applyAlignment="1" applyBorder="1" applyFont="1" applyNumberFormat="1">
      <alignment horizontal="center" vertical="center"/>
    </xf>
    <xf borderId="6" fillId="3" fontId="6" numFmtId="164" xfId="0" applyAlignment="1" applyBorder="1" applyFont="1" applyNumberFormat="1">
      <alignment horizontal="center" vertical="center"/>
    </xf>
    <xf borderId="6" fillId="2" fontId="6" numFmtId="164" xfId="0" applyAlignment="1" applyBorder="1" applyFont="1" applyNumberFormat="1">
      <alignment horizontal="center" readingOrder="0" vertical="center"/>
    </xf>
    <xf borderId="6" fillId="6" fontId="6" numFmtId="164" xfId="0" applyAlignment="1" applyBorder="1" applyFont="1" applyNumberFormat="1">
      <alignment horizontal="center" readingOrder="0" vertical="center"/>
    </xf>
    <xf borderId="7" fillId="7" fontId="6" numFmtId="165" xfId="0" applyAlignment="1" applyBorder="1" applyFont="1" applyNumberFormat="1">
      <alignment horizontal="center" vertical="center"/>
    </xf>
    <xf borderId="8" fillId="7" fontId="6" numFmtId="165" xfId="0" applyAlignment="1" applyBorder="1" applyFont="1" applyNumberFormat="1">
      <alignment horizontal="center" vertical="center"/>
    </xf>
    <xf borderId="9" fillId="7" fontId="6" numFmtId="165" xfId="0" applyAlignment="1" applyBorder="1" applyFont="1" applyNumberFormat="1">
      <alignment horizontal="center" vertical="center"/>
    </xf>
    <xf borderId="10" fillId="7" fontId="6" numFmtId="165" xfId="0" applyAlignment="1" applyBorder="1" applyFont="1" applyNumberFormat="1">
      <alignment horizontal="center" vertical="center"/>
    </xf>
    <xf borderId="10" fillId="5" fontId="8" numFmtId="164" xfId="0" applyAlignment="1" applyBorder="1" applyFont="1" applyNumberFormat="1">
      <alignment horizontal="center" vertical="center"/>
    </xf>
    <xf borderId="1" fillId="3" fontId="1" numFmtId="0" xfId="0" applyAlignment="1" applyBorder="1" applyFont="1">
      <alignment vertical="center"/>
    </xf>
    <xf borderId="4" fillId="4" fontId="8" numFmtId="0" xfId="0" applyAlignment="1" applyBorder="1" applyFont="1">
      <alignment horizontal="center" vertical="center"/>
    </xf>
    <xf borderId="4" fillId="3" fontId="8" numFmtId="165" xfId="0" applyAlignment="1" applyBorder="1" applyFont="1" applyNumberFormat="1">
      <alignment vertical="center"/>
    </xf>
    <xf borderId="11" fillId="3" fontId="8" numFmtId="165" xfId="0" applyAlignment="1" applyBorder="1" applyFont="1" applyNumberFormat="1">
      <alignment vertical="center"/>
    </xf>
    <xf borderId="12" fillId="3" fontId="9" numFmtId="0" xfId="0" applyAlignment="1" applyBorder="1" applyFont="1">
      <alignment horizontal="center" vertical="center"/>
    </xf>
    <xf borderId="13" fillId="0" fontId="10" numFmtId="0" xfId="0" applyBorder="1" applyFont="1"/>
    <xf borderId="14" fillId="7" fontId="11" numFmtId="166" xfId="0" applyAlignment="1" applyBorder="1" applyFont="1" applyNumberFormat="1">
      <alignment horizontal="center" vertical="center"/>
    </xf>
    <xf borderId="15" fillId="5" fontId="12" numFmtId="0" xfId="0" applyAlignment="1" applyBorder="1" applyFont="1">
      <alignment horizontal="center" vertical="center"/>
    </xf>
    <xf borderId="16" fillId="0" fontId="10" numFmtId="0" xfId="0" applyBorder="1" applyFont="1"/>
    <xf borderId="17" fillId="0" fontId="10" numFmtId="0" xfId="0" applyBorder="1" applyFont="1"/>
    <xf borderId="1" fillId="3" fontId="13" numFmtId="0" xfId="0" applyAlignment="1" applyBorder="1" applyFont="1">
      <alignment horizontal="center"/>
    </xf>
    <xf borderId="0" fillId="6" fontId="1" numFmtId="0" xfId="0" applyFont="1"/>
    <xf borderId="0" fillId="9" fontId="1" numFmtId="164" xfId="0" applyAlignment="1" applyFill="1" applyFont="1" applyNumberFormat="1">
      <alignment horizontal="center" readingOrder="0"/>
    </xf>
    <xf borderId="0" fillId="6" fontId="1" numFmtId="165" xfId="0" applyFont="1" applyNumberFormat="1"/>
    <xf borderId="4" fillId="10" fontId="6" numFmtId="164" xfId="0" applyAlignment="1" applyBorder="1" applyFill="1" applyFont="1" applyNumberFormat="1">
      <alignment horizontal="center" vertical="center"/>
    </xf>
    <xf borderId="0" fillId="6" fontId="1" numFmtId="0" xfId="0" applyFont="1"/>
    <xf borderId="0" fillId="6" fontId="1" numFmtId="164" xfId="0" applyFont="1" applyNumberFormat="1"/>
    <xf borderId="1" fillId="5" fontId="5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9" numFmtId="0" xfId="0" applyAlignment="1" applyFont="1">
      <alignment horizontal="left" vertical="center"/>
    </xf>
    <xf borderId="0" fillId="0" fontId="14" numFmtId="14" xfId="0" applyAlignment="1" applyFont="1" applyNumberFormat="1">
      <alignment horizontal="center" vertical="center"/>
    </xf>
    <xf borderId="0" fillId="0" fontId="14" numFmtId="0" xfId="0" applyAlignment="1" applyFont="1">
      <alignment horizontal="left" vertical="center"/>
    </xf>
    <xf borderId="0" fillId="0" fontId="14" numFmtId="167" xfId="0" applyAlignment="1" applyFont="1" applyNumberFormat="1">
      <alignment horizontal="center" vertical="center"/>
    </xf>
    <xf borderId="0" fillId="0" fontId="15" numFmtId="0" xfId="0" applyAlignment="1" applyFont="1">
      <alignment horizontal="left" vertical="center"/>
    </xf>
    <xf borderId="0" fillId="0" fontId="14" numFmtId="165" xfId="0" applyAlignment="1" applyFont="1" applyNumberFormat="1">
      <alignment horizontal="center" vertical="center"/>
    </xf>
    <xf borderId="0" fillId="0" fontId="14" numFmtId="9" xfId="0" applyAlignment="1" applyFont="1" applyNumberFormat="1">
      <alignment horizontal="center" vertical="center"/>
    </xf>
    <xf borderId="18" fillId="11" fontId="16" numFmtId="168" xfId="0" applyAlignment="1" applyBorder="1" applyFill="1" applyFont="1" applyNumberFormat="1">
      <alignment horizontal="center" vertical="center"/>
    </xf>
    <xf borderId="18" fillId="12" fontId="1" numFmtId="0" xfId="0" applyAlignment="1" applyBorder="1" applyFill="1" applyFont="1">
      <alignment horizontal="center"/>
    </xf>
    <xf borderId="0" fillId="0" fontId="4" numFmtId="2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14" numFmtId="169" xfId="0" applyAlignment="1" applyFont="1" applyNumberFormat="1">
      <alignment horizontal="center" vertical="center"/>
    </xf>
    <xf borderId="0" fillId="0" fontId="14" numFmtId="16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404040520897022"/>
          <c:y val="0.16258355742045194"/>
          <c:w val="0.9191918958205956"/>
          <c:h val="0.45934892611000894"/>
        </c:manualLayout>
      </c:layout>
      <c:barChart>
        <c:barDir val="col"/>
        <c:ser>
          <c:idx val="0"/>
          <c:order val="0"/>
          <c:tx>
            <c:v>Gasto Mensal</c:v>
          </c:tx>
          <c:spPr>
            <a:solidFill>
              <a:srgbClr val="47B9AB"/>
            </a:solidFill>
            <a:ln cmpd="sng">
              <a:noFill/>
            </a:ln>
          </c:spPr>
          <c:cat>
            <c:strRef>
              <c:f>Dados!$C$10:$N$10</c:f>
            </c:strRef>
          </c:cat>
          <c:val>
            <c:numRef>
              <c:f>Dados!$C$44:$N$44</c:f>
              <c:numCache/>
            </c:numRef>
          </c:val>
        </c:ser>
        <c:ser>
          <c:idx val="1"/>
          <c:order val="1"/>
          <c:tx>
            <c:v>Valor + Alto</c:v>
          </c:tx>
          <c:spPr>
            <a:solidFill>
              <a:srgbClr val="ED7D31"/>
            </a:solidFill>
            <a:ln cmpd="sng">
              <a:noFill/>
            </a:ln>
          </c:spPr>
          <c:cat>
            <c:strRef>
              <c:f>Dados!$C$10:$N$10</c:f>
            </c:strRef>
          </c:cat>
          <c:val>
            <c:numRef>
              <c:f>Config!$B$21:$M$21</c:f>
              <c:numCache/>
            </c:numRef>
          </c:val>
        </c:ser>
        <c:ser>
          <c:idx val="2"/>
          <c:order val="2"/>
          <c:tx>
            <c:v>Valor + Baixo</c:v>
          </c:tx>
          <c:spPr>
            <a:solidFill>
              <a:srgbClr val="A5A5A5"/>
            </a:solidFill>
            <a:ln cmpd="sng">
              <a:noFill/>
            </a:ln>
          </c:spPr>
          <c:cat>
            <c:strRef>
              <c:f>Dados!$C$10:$N$10</c:f>
            </c:strRef>
          </c:cat>
          <c:val>
            <c:numRef>
              <c:f>Config!$B$22:$M$22</c:f>
              <c:numCache/>
            </c:numRef>
          </c:val>
        </c:ser>
        <c:axId val="1708625918"/>
        <c:axId val="1531124712"/>
      </c:barChart>
      <c:catAx>
        <c:axId val="17086259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531124712"/>
      </c:catAx>
      <c:valAx>
        <c:axId val="1531124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08625918"/>
      </c:valAx>
    </c:plotArea>
    <c:legend>
      <c:legendPos val="t"/>
      <c:layout>
        <c:manualLayout>
          <c:xMode val="edge"/>
          <c:yMode val="edge"/>
          <c:x val="0.3537917271950627"/>
          <c:y val="0.8125890473053531"/>
        </c:manualLayout>
      </c:layout>
      <c:overlay val="0"/>
      <c:txPr>
        <a:bodyPr/>
        <a:lstStyle/>
        <a:p>
          <a:pPr lvl="0">
            <a:defRPr b="1" i="0" sz="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1213123793768955"/>
          <c:y val="0.13902046795264747"/>
          <c:w val="0.9757375241246209"/>
          <c:h val="0.8357030833286894"/>
        </c:manualLayout>
      </c:layout>
      <c:barChart>
        <c:barDir val="col"/>
        <c:ser>
          <c:idx val="0"/>
          <c:order val="0"/>
          <c:spPr>
            <a:solidFill>
              <a:srgbClr val="47B9AB"/>
            </a:solidFill>
            <a:ln cmpd="sng">
              <a:noFill/>
            </a:ln>
          </c:spPr>
          <c:val>
            <c:numRef>
              <c:f>Dashboard!$C$4:$N$4</c:f>
              <c:numCache/>
            </c:numRef>
          </c:val>
        </c:ser>
        <c:axId val="1356277482"/>
        <c:axId val="282417474"/>
      </c:barChart>
      <c:lineChart>
        <c:varyColors val="0"/>
        <c:ser>
          <c:idx val="1"/>
          <c:order val="1"/>
          <c:spPr>
            <a:ln cmpd="sng" w="19050">
              <a:solidFill>
                <a:srgbClr val="ED7D31">
                  <a:alpha val="100000"/>
                </a:srgbClr>
              </a:solidFill>
              <a:prstDash val="dash"/>
            </a:ln>
          </c:spPr>
          <c:marker>
            <c:symbol val="none"/>
          </c:marker>
          <c:val>
            <c:numRef>
              <c:f>Config!$B$77:$M$77</c:f>
              <c:numCache/>
            </c:numRef>
          </c:val>
          <c:smooth val="0"/>
        </c:ser>
        <c:axId val="1356277482"/>
        <c:axId val="282417474"/>
      </c:lineChart>
      <c:catAx>
        <c:axId val="1356277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82417474"/>
      </c:catAx>
      <c:valAx>
        <c:axId val="282417474"/>
        <c:scaling>
          <c:orientation val="minMax"/>
          <c:min val="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56277482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407006697578568"/>
          <c:y val="0.06489675516224189"/>
          <c:w val="0.8957803226683216"/>
          <c:h val="0.7873058788005481"/>
        </c:manualLayout>
      </c:layout>
      <c:barChart>
        <c:barDir val="col"/>
        <c:ser>
          <c:idx val="0"/>
          <c:order val="0"/>
          <c:tx>
            <c:v>Gastos Mensais</c:v>
          </c:tx>
          <c:spPr>
            <a:solidFill>
              <a:srgbClr val="4472C4"/>
            </a:solidFill>
            <a:ln cmpd="sng">
              <a:noFill/>
            </a:ln>
          </c:spPr>
          <c:cat>
            <c:strRef>
              <c:f>Dashboard!$C$11:$N$11</c:f>
            </c:strRef>
          </c:cat>
          <c:val>
            <c:numRef>
              <c:f>Dashboard!$C$4:$N$4</c:f>
              <c:numCache/>
            </c:numRef>
          </c:val>
        </c:ser>
        <c:axId val="1089359362"/>
        <c:axId val="1983722617"/>
      </c:barChart>
      <c:lineChart>
        <c:varyColors val="0"/>
        <c:ser>
          <c:idx val="1"/>
          <c:order val="1"/>
          <c:tx>
            <c:v>Luz</c:v>
          </c:tx>
          <c:spPr>
            <a:ln cmpd="sng" w="28575">
              <a:solidFill>
                <a:srgbClr val="47B9A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Dashboard!$C$11:$N$11</c:f>
            </c:strRef>
          </c:cat>
          <c:val>
            <c:numRef>
              <c:f>Dashboard!$C$12:$N$12</c:f>
              <c:numCache/>
            </c:numRef>
          </c:val>
          <c:smooth val="1"/>
        </c:ser>
        <c:axId val="1089359362"/>
        <c:axId val="1983722617"/>
      </c:lineChart>
      <c:catAx>
        <c:axId val="10893593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1000">
                <a:solidFill>
                  <a:srgbClr val="000000"/>
                </a:solidFill>
                <a:latin typeface="+mn-lt"/>
              </a:defRPr>
            </a:pPr>
          </a:p>
        </c:txPr>
        <c:crossAx val="1983722617"/>
      </c:catAx>
      <c:valAx>
        <c:axId val="19837226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89359362"/>
      </c:valAx>
    </c:plotArea>
    <c:legend>
      <c:legendPos val="r"/>
      <c:layout>
        <c:manualLayout>
          <c:xMode val="edge"/>
          <c:yMode val="edge"/>
          <c:x val="6.781957510334401E-4"/>
          <c:y val="0.3886423710310547"/>
        </c:manualLayout>
      </c:layout>
      <c:overlay val="0"/>
      <c:txPr>
        <a:bodyPr/>
        <a:lstStyle/>
        <a:p>
          <a:pPr lvl="0">
            <a:defRPr b="1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</xdr:colOff>
      <xdr:row>1</xdr:row>
      <xdr:rowOff>57150</xdr:rowOff>
    </xdr:from>
    <xdr:ext cx="3705225" cy="1209675"/>
    <xdr:graphicFrame>
      <xdr:nvGraphicFramePr>
        <xdr:cNvPr id="1152969105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19050</xdr:colOff>
      <xdr:row>0</xdr:row>
      <xdr:rowOff>114300</xdr:rowOff>
    </xdr:from>
    <xdr:ext cx="2828925" cy="1371600"/>
    <xdr:sp>
      <xdr:nvSpPr>
        <xdr:cNvPr id="3" name="Shape 3"/>
        <xdr:cNvSpPr/>
      </xdr:nvSpPr>
      <xdr:spPr>
        <a:xfrm>
          <a:off x="3936300" y="3098963"/>
          <a:ext cx="2819400" cy="1362075"/>
        </a:xfrm>
        <a:prstGeom prst="roundRect">
          <a:avLst>
            <a:gd fmla="val 7715" name="adj"/>
          </a:avLst>
        </a:prstGeom>
        <a:solidFill>
          <a:schemeClr val="lt1"/>
        </a:solidFill>
        <a:ln cap="flat" cmpd="sng" w="12700">
          <a:solidFill>
            <a:schemeClr val="dk1">
              <a:alpha val="9412"/>
            </a:schemeClr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9412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142875</xdr:colOff>
      <xdr:row>0</xdr:row>
      <xdr:rowOff>0</xdr:rowOff>
    </xdr:from>
    <xdr:ext cx="228600" cy="276225"/>
    <xdr:sp>
      <xdr:nvSpPr>
        <xdr:cNvPr id="4" name="Shape 4"/>
        <xdr:cNvSpPr txBox="1"/>
      </xdr:nvSpPr>
      <xdr:spPr>
        <a:xfrm>
          <a:off x="5236463" y="3646650"/>
          <a:ext cx="219075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 </a:t>
          </a:r>
          <a:endParaRPr b="0"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1</xdr:col>
      <xdr:colOff>133350</xdr:colOff>
      <xdr:row>1</xdr:row>
      <xdr:rowOff>0</xdr:rowOff>
    </xdr:from>
    <xdr:ext cx="895350" cy="304800"/>
    <xdr:sp>
      <xdr:nvSpPr>
        <xdr:cNvPr id="5" name="Shape 5"/>
        <xdr:cNvSpPr txBox="1"/>
      </xdr:nvSpPr>
      <xdr:spPr>
        <a:xfrm>
          <a:off x="4903088" y="3632363"/>
          <a:ext cx="88582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 </a:t>
          </a:r>
          <a:endParaRPr b="1" i="0" sz="1200" u="none" strike="noStrike">
            <a:solidFill>
              <a:srgbClr val="A5A5A5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142875</xdr:colOff>
      <xdr:row>2</xdr:row>
      <xdr:rowOff>38100</xdr:rowOff>
    </xdr:from>
    <xdr:ext cx="2676525" cy="638175"/>
    <xdr:sp>
      <xdr:nvSpPr>
        <xdr:cNvPr id="6" name="Shape 6"/>
        <xdr:cNvSpPr txBox="1"/>
      </xdr:nvSpPr>
      <xdr:spPr>
        <a:xfrm>
          <a:off x="4012500" y="3465675"/>
          <a:ext cx="2667000" cy="6286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 </a:t>
          </a:r>
          <a:endParaRPr b="1" i="0" sz="3200" u="none" strike="noStrike">
            <a:solidFill>
              <a:srgbClr val="3F3F3F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981075</xdr:colOff>
      <xdr:row>5</xdr:row>
      <xdr:rowOff>66675</xdr:rowOff>
    </xdr:from>
    <xdr:ext cx="1790700" cy="276225"/>
    <xdr:sp>
      <xdr:nvSpPr>
        <xdr:cNvPr id="7" name="Shape 7"/>
        <xdr:cNvSpPr txBox="1"/>
      </xdr:nvSpPr>
      <xdr:spPr>
        <a:xfrm>
          <a:off x="4455413" y="3646650"/>
          <a:ext cx="1781175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 </a:t>
          </a:r>
          <a:endParaRPr b="0" sz="1050">
            <a:solidFill>
              <a:srgbClr val="A5A5A5"/>
            </a:solidFill>
          </a:endParaRPr>
        </a:p>
      </xdr:txBody>
    </xdr:sp>
    <xdr:clientData fLocksWithSheet="0"/>
  </xdr:oneCellAnchor>
  <xdr:oneCellAnchor>
    <xdr:from>
      <xdr:col>1</xdr:col>
      <xdr:colOff>180975</xdr:colOff>
      <xdr:row>5</xdr:row>
      <xdr:rowOff>85725</xdr:rowOff>
    </xdr:from>
    <xdr:ext cx="828675" cy="247650"/>
    <xdr:grpSp>
      <xdr:nvGrpSpPr>
        <xdr:cNvPr id="2" name="Shape 2"/>
        <xdr:cNvGrpSpPr/>
      </xdr:nvGrpSpPr>
      <xdr:grpSpPr>
        <a:xfrm>
          <a:off x="4931663" y="3656175"/>
          <a:ext cx="828675" cy="247650"/>
          <a:chOff x="4931663" y="3656175"/>
          <a:chExt cx="828675" cy="247650"/>
        </a:xfrm>
      </xdr:grpSpPr>
      <xdr:grpSp>
        <xdr:nvGrpSpPr>
          <xdr:cNvPr id="8" name="Shape 8"/>
          <xdr:cNvGrpSpPr/>
        </xdr:nvGrpSpPr>
        <xdr:grpSpPr>
          <a:xfrm>
            <a:off x="4931663" y="3656175"/>
            <a:ext cx="828675" cy="247650"/>
            <a:chOff x="4931663" y="3656175"/>
            <a:chExt cx="828675" cy="247650"/>
          </a:xfrm>
        </xdr:grpSpPr>
        <xdr:sp>
          <xdr:nvSpPr>
            <xdr:cNvPr id="9" name="Shape 9"/>
            <xdr:cNvSpPr/>
          </xdr:nvSpPr>
          <xdr:spPr>
            <a:xfrm>
              <a:off x="4931663" y="3656175"/>
              <a:ext cx="828675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0" name="Shape 10"/>
            <xdr:cNvGrpSpPr/>
          </xdr:nvGrpSpPr>
          <xdr:grpSpPr>
            <a:xfrm>
              <a:off x="4931663" y="3656175"/>
              <a:ext cx="828675" cy="247650"/>
              <a:chOff x="3135797" y="1867183"/>
              <a:chExt cx="828001" cy="240354"/>
            </a:xfrm>
          </xdr:grpSpPr>
          <xdr:sp>
            <xdr:nvSpPr>
              <xdr:cNvPr id="11" name="Shape 11"/>
              <xdr:cNvSpPr/>
            </xdr:nvSpPr>
            <xdr:spPr>
              <a:xfrm>
                <a:off x="3135797" y="1867183"/>
                <a:ext cx="828000" cy="2403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2" name="Shape 12"/>
              <xdr:cNvSpPr/>
            </xdr:nvSpPr>
            <xdr:spPr>
              <a:xfrm>
                <a:off x="3135798" y="1867183"/>
                <a:ext cx="828000" cy="240354"/>
              </a:xfrm>
              <a:prstGeom prst="roundRect">
                <a:avLst>
                  <a:gd fmla="val 20612" name="adj"/>
                </a:avLst>
              </a:prstGeom>
              <a:noFill/>
              <a:ln cap="flat" cmpd="sng" w="9525">
                <a:solidFill>
                  <a:srgbClr val="1E4E48">
                    <a:alpha val="20000"/>
                  </a:srgbClr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rPr lang="en-US" sz="1400"/>
                  <a:t> </a:t>
                </a:r>
                <a:endParaRPr sz="600">
                  <a:solidFill>
                    <a:srgbClr val="C01E35"/>
                  </a:solidFill>
                </a:endParaRPr>
              </a:p>
            </xdr:txBody>
          </xdr:sp>
          <xdr:sp>
            <xdr:nvSpPr>
              <xdr:cNvPr id="13" name="Shape 13"/>
              <xdr:cNvSpPr/>
            </xdr:nvSpPr>
            <xdr:spPr>
              <a:xfrm>
                <a:off x="3135797" y="1867183"/>
                <a:ext cx="828000" cy="240354"/>
              </a:xfrm>
              <a:prstGeom prst="roundRect">
                <a:avLst>
                  <a:gd fmla="val 20612" name="adj"/>
                </a:avLst>
              </a:prstGeom>
              <a:noFill/>
              <a:ln cap="flat" cmpd="sng" w="9525">
                <a:solidFill>
                  <a:srgbClr val="1E4E48">
                    <a:alpha val="20000"/>
                  </a:srgbClr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rPr lang="en-US" sz="1400"/>
                  <a:t> </a:t>
                </a:r>
                <a:endParaRPr b="1" sz="600">
                  <a:solidFill>
                    <a:srgbClr val="47B9AB"/>
                  </a:solidFill>
                </a:endParaRPr>
              </a:p>
            </xdr:txBody>
          </xdr:sp>
        </xdr:grpSp>
      </xdr:grpSp>
    </xdr:grpSp>
    <xdr:clientData fLocksWithSheet="0"/>
  </xdr:oneCellAnchor>
  <xdr:oneCellAnchor>
    <xdr:from>
      <xdr:col>3</xdr:col>
      <xdr:colOff>161925</xdr:colOff>
      <xdr:row>0</xdr:row>
      <xdr:rowOff>114300</xdr:rowOff>
    </xdr:from>
    <xdr:ext cx="3638550" cy="1371600"/>
    <xdr:sp>
      <xdr:nvSpPr>
        <xdr:cNvPr id="14" name="Shape 14"/>
        <xdr:cNvSpPr/>
      </xdr:nvSpPr>
      <xdr:spPr>
        <a:xfrm>
          <a:off x="3531488" y="3098963"/>
          <a:ext cx="3629025" cy="1362075"/>
        </a:xfrm>
        <a:prstGeom prst="roundRect">
          <a:avLst>
            <a:gd fmla="val 8461" name="adj"/>
          </a:avLst>
        </a:prstGeom>
        <a:solidFill>
          <a:schemeClr val="lt1"/>
        </a:solidFill>
        <a:ln cap="flat" cmpd="sng" w="12700">
          <a:solidFill>
            <a:schemeClr val="dk1">
              <a:alpha val="9412"/>
            </a:schemeClr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9412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895350</xdr:colOff>
      <xdr:row>0</xdr:row>
      <xdr:rowOff>152400</xdr:rowOff>
    </xdr:from>
    <xdr:ext cx="1876425" cy="352425"/>
    <xdr:sp>
      <xdr:nvSpPr>
        <xdr:cNvPr id="15" name="Shape 15"/>
        <xdr:cNvSpPr txBox="1"/>
      </xdr:nvSpPr>
      <xdr:spPr>
        <a:xfrm>
          <a:off x="4412550" y="3608550"/>
          <a:ext cx="18669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 </a:t>
          </a:r>
          <a:endParaRPr b="1" sz="2000">
            <a:solidFill>
              <a:srgbClr val="7F7F7F"/>
            </a:solidFill>
          </a:endParaRPr>
        </a:p>
      </xdr:txBody>
    </xdr:sp>
    <xdr:clientData fLocksWithSheet="0"/>
  </xdr:oneCellAnchor>
  <xdr:oneCellAnchor>
    <xdr:from>
      <xdr:col>3</xdr:col>
      <xdr:colOff>257175</xdr:colOff>
      <xdr:row>1</xdr:row>
      <xdr:rowOff>0</xdr:rowOff>
    </xdr:from>
    <xdr:ext cx="2381250" cy="304800"/>
    <xdr:sp>
      <xdr:nvSpPr>
        <xdr:cNvPr id="16" name="Shape 16"/>
        <xdr:cNvSpPr txBox="1"/>
      </xdr:nvSpPr>
      <xdr:spPr>
        <a:xfrm>
          <a:off x="4160138" y="3632363"/>
          <a:ext cx="237172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 </a:t>
          </a:r>
          <a:endParaRPr b="1" i="0" sz="1200" u="none" strike="noStrike">
            <a:solidFill>
              <a:srgbClr val="A5A5A5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11</xdr:col>
      <xdr:colOff>209550</xdr:colOff>
      <xdr:row>0</xdr:row>
      <xdr:rowOff>114300</xdr:rowOff>
    </xdr:from>
    <xdr:ext cx="3000375" cy="1371600"/>
    <xdr:sp>
      <xdr:nvSpPr>
        <xdr:cNvPr id="17" name="Shape 17"/>
        <xdr:cNvSpPr/>
      </xdr:nvSpPr>
      <xdr:spPr>
        <a:xfrm>
          <a:off x="3850575" y="3098963"/>
          <a:ext cx="2990850" cy="1362075"/>
        </a:xfrm>
        <a:prstGeom prst="roundRect">
          <a:avLst>
            <a:gd fmla="val 8461" name="adj"/>
          </a:avLst>
        </a:prstGeom>
        <a:solidFill>
          <a:schemeClr val="lt1"/>
        </a:solidFill>
        <a:ln cap="flat" cmpd="sng" w="12700">
          <a:solidFill>
            <a:schemeClr val="dk1">
              <a:alpha val="9412"/>
            </a:schemeClr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9412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314325</xdr:colOff>
      <xdr:row>1</xdr:row>
      <xdr:rowOff>0</xdr:rowOff>
    </xdr:from>
    <xdr:ext cx="2790825" cy="304800"/>
    <xdr:sp>
      <xdr:nvSpPr>
        <xdr:cNvPr id="18" name="Shape 18"/>
        <xdr:cNvSpPr txBox="1"/>
      </xdr:nvSpPr>
      <xdr:spPr>
        <a:xfrm>
          <a:off x="3955350" y="3632363"/>
          <a:ext cx="2781300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 </a:t>
          </a:r>
          <a:endParaRPr b="1" i="0" sz="1200" u="none" strike="noStrike">
            <a:solidFill>
              <a:srgbClr val="A5A5A5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11</xdr:col>
      <xdr:colOff>238125</xdr:colOff>
      <xdr:row>2</xdr:row>
      <xdr:rowOff>38100</xdr:rowOff>
    </xdr:from>
    <xdr:ext cx="2971800" cy="638175"/>
    <xdr:sp>
      <xdr:nvSpPr>
        <xdr:cNvPr id="19" name="Shape 19"/>
        <xdr:cNvSpPr txBox="1"/>
      </xdr:nvSpPr>
      <xdr:spPr>
        <a:xfrm>
          <a:off x="3864863" y="3465675"/>
          <a:ext cx="2962275" cy="6286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 </a:t>
          </a:r>
          <a:endParaRPr b="1" i="0" sz="3200" u="none" strike="noStrike">
            <a:solidFill>
              <a:srgbClr val="3F3F3F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200025</xdr:colOff>
      <xdr:row>5</xdr:row>
      <xdr:rowOff>152400</xdr:rowOff>
    </xdr:from>
    <xdr:ext cx="1924050" cy="295275"/>
    <xdr:sp>
      <xdr:nvSpPr>
        <xdr:cNvPr id="20" name="Shape 20"/>
        <xdr:cNvSpPr txBox="1"/>
      </xdr:nvSpPr>
      <xdr:spPr>
        <a:xfrm>
          <a:off x="4388738" y="3637125"/>
          <a:ext cx="1914525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A5A5A5"/>
            </a:buClr>
            <a:buSzPts val="1050"/>
            <a:buFont typeface="Calibri"/>
            <a:buNone/>
          </a:pPr>
          <a:r>
            <a:rPr b="0" lang="en-US" sz="1050">
              <a:solidFill>
                <a:srgbClr val="A5A5A5"/>
              </a:solidFill>
              <a:latin typeface="Calibri"/>
              <a:ea typeface="Calibri"/>
              <a:cs typeface="Calibri"/>
              <a:sym typeface="Calibri"/>
            </a:rPr>
            <a:t>com relação ao total dos gastos</a:t>
          </a:r>
          <a:endParaRPr sz="1400"/>
        </a:p>
      </xdr:txBody>
    </xdr:sp>
    <xdr:clientData fLocksWithSheet="0"/>
  </xdr:oneCellAnchor>
  <xdr:oneCellAnchor>
    <xdr:from>
      <xdr:col>11</xdr:col>
      <xdr:colOff>409575</xdr:colOff>
      <xdr:row>5</xdr:row>
      <xdr:rowOff>152400</xdr:rowOff>
    </xdr:from>
    <xdr:ext cx="685800" cy="295275"/>
    <xdr:sp>
      <xdr:nvSpPr>
        <xdr:cNvPr id="21" name="Shape 21"/>
        <xdr:cNvSpPr txBox="1"/>
      </xdr:nvSpPr>
      <xdr:spPr>
        <a:xfrm>
          <a:off x="5007863" y="3637125"/>
          <a:ext cx="676275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 </a:t>
          </a:r>
          <a:endParaRPr b="1" sz="1050">
            <a:solidFill>
              <a:srgbClr val="595959"/>
            </a:solidFill>
          </a:endParaRPr>
        </a:p>
      </xdr:txBody>
    </xdr:sp>
    <xdr:clientData fLocksWithSheet="0"/>
  </xdr:oneCellAnchor>
  <xdr:oneCellAnchor>
    <xdr:from>
      <xdr:col>11</xdr:col>
      <xdr:colOff>247650</xdr:colOff>
      <xdr:row>4</xdr:row>
      <xdr:rowOff>104775</xdr:rowOff>
    </xdr:from>
    <xdr:ext cx="2914650" cy="276225"/>
    <xdr:sp>
      <xdr:nvSpPr>
        <xdr:cNvPr id="22" name="Shape 22"/>
        <xdr:cNvSpPr txBox="1"/>
      </xdr:nvSpPr>
      <xdr:spPr>
        <a:xfrm>
          <a:off x="3893438" y="3646650"/>
          <a:ext cx="2905125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 </a:t>
          </a:r>
          <a:endParaRPr b="1" i="0" sz="1200" u="none" strike="noStrike">
            <a:solidFill>
              <a:srgbClr val="7F7F7F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114300</xdr:colOff>
      <xdr:row>0</xdr:row>
      <xdr:rowOff>114300</xdr:rowOff>
    </xdr:from>
    <xdr:ext cx="2266950" cy="1371600"/>
    <xdr:sp>
      <xdr:nvSpPr>
        <xdr:cNvPr id="23" name="Shape 23"/>
        <xdr:cNvSpPr/>
      </xdr:nvSpPr>
      <xdr:spPr>
        <a:xfrm>
          <a:off x="4217288" y="3098963"/>
          <a:ext cx="2257425" cy="1362075"/>
        </a:xfrm>
        <a:prstGeom prst="roundRect">
          <a:avLst>
            <a:gd fmla="val 8461" name="adj"/>
          </a:avLst>
        </a:prstGeom>
        <a:solidFill>
          <a:schemeClr val="lt1"/>
        </a:solidFill>
        <a:ln cap="flat" cmpd="sng" w="12700">
          <a:solidFill>
            <a:schemeClr val="dk1">
              <a:alpha val="9412"/>
            </a:schemeClr>
          </a:solidFill>
          <a:prstDash val="solid"/>
          <a:miter lim="800000"/>
          <a:headEnd len="sm" w="sm" type="none"/>
          <a:tailEnd len="sm" w="sm" type="none"/>
        </a:ln>
        <a:effectLst>
          <a:outerShdw blurRad="50800" rotWithShape="0" algn="t" dir="5400000" dist="38100">
            <a:srgbClr val="000000">
              <a:alpha val="9412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238125</xdr:colOff>
      <xdr:row>3</xdr:row>
      <xdr:rowOff>9525</xdr:rowOff>
    </xdr:from>
    <xdr:ext cx="619125" cy="762000"/>
    <xdr:grpSp>
      <xdr:nvGrpSpPr>
        <xdr:cNvPr id="2" name="Shape 2"/>
        <xdr:cNvGrpSpPr/>
      </xdr:nvGrpSpPr>
      <xdr:grpSpPr>
        <a:xfrm>
          <a:off x="5036438" y="3399000"/>
          <a:ext cx="619125" cy="762000"/>
          <a:chOff x="5036438" y="3399000"/>
          <a:chExt cx="619125" cy="762000"/>
        </a:xfrm>
      </xdr:grpSpPr>
      <xdr:grpSp>
        <xdr:nvGrpSpPr>
          <xdr:cNvPr id="24" name="Shape 24"/>
          <xdr:cNvGrpSpPr/>
        </xdr:nvGrpSpPr>
        <xdr:grpSpPr>
          <a:xfrm>
            <a:off x="5036438" y="3399000"/>
            <a:ext cx="619125" cy="762000"/>
            <a:chOff x="5036438" y="3399000"/>
            <a:chExt cx="619125" cy="762000"/>
          </a:xfrm>
        </xdr:grpSpPr>
        <xdr:sp>
          <xdr:nvSpPr>
            <xdr:cNvPr id="9" name="Shape 9"/>
            <xdr:cNvSpPr/>
          </xdr:nvSpPr>
          <xdr:spPr>
            <a:xfrm>
              <a:off x="5036438" y="3399000"/>
              <a:ext cx="619125" cy="762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5" name="Shape 25"/>
            <xdr:cNvGrpSpPr/>
          </xdr:nvGrpSpPr>
          <xdr:grpSpPr>
            <a:xfrm>
              <a:off x="5036438" y="3399000"/>
              <a:ext cx="619125" cy="762000"/>
              <a:chOff x="7048500" y="495300"/>
              <a:chExt cx="612000" cy="741435"/>
            </a:xfrm>
          </xdr:grpSpPr>
          <xdr:sp>
            <xdr:nvSpPr>
              <xdr:cNvPr id="26" name="Shape 26"/>
              <xdr:cNvSpPr/>
            </xdr:nvSpPr>
            <xdr:spPr>
              <a:xfrm>
                <a:off x="7048500" y="495300"/>
                <a:ext cx="612000" cy="74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27" name="Shape 27"/>
              <xdr:cNvSpPr txBox="1"/>
            </xdr:nvSpPr>
            <xdr:spPr>
              <a:xfrm>
                <a:off x="7048500" y="495300"/>
                <a:ext cx="612000" cy="217560"/>
              </a:xfrm>
              <a:prstGeom prst="rect">
                <a:avLst/>
              </a:prstGeom>
              <a:solidFill>
                <a:srgbClr val="47B9AB"/>
              </a:solidFill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rPr lang="en-US" sz="1400"/>
                  <a:t> </a:t>
                </a:r>
                <a:endParaRPr b="1" sz="900">
                  <a:solidFill>
                    <a:srgbClr val="595959"/>
                  </a:solidFill>
                </a:endParaRPr>
              </a:p>
            </xdr:txBody>
          </xdr:sp>
          <xdr:sp>
            <xdr:nvSpPr>
              <xdr:cNvPr id="28" name="Shape 28"/>
              <xdr:cNvSpPr txBox="1"/>
            </xdr:nvSpPr>
            <xdr:spPr>
              <a:xfrm>
                <a:off x="7048500" y="762000"/>
                <a:ext cx="612000" cy="217560"/>
              </a:xfrm>
              <a:prstGeom prst="rect">
                <a:avLst/>
              </a:prstGeom>
              <a:solidFill>
                <a:srgbClr val="95D7CF"/>
              </a:solidFill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rPr lang="en-US" sz="1400"/>
                  <a:t> </a:t>
                </a:r>
                <a:endParaRPr b="1" sz="900">
                  <a:solidFill>
                    <a:srgbClr val="595959"/>
                  </a:solidFill>
                </a:endParaRPr>
              </a:p>
            </xdr:txBody>
          </xdr:sp>
          <xdr:sp>
            <xdr:nvSpPr>
              <xdr:cNvPr id="29" name="Shape 29"/>
              <xdr:cNvSpPr txBox="1"/>
            </xdr:nvSpPr>
            <xdr:spPr>
              <a:xfrm>
                <a:off x="7048500" y="1019175"/>
                <a:ext cx="612000" cy="217560"/>
              </a:xfrm>
              <a:prstGeom prst="rect">
                <a:avLst/>
              </a:prstGeom>
              <a:solidFill>
                <a:srgbClr val="D2EEEB"/>
              </a:solidFill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rPr lang="en-US" sz="1400"/>
                  <a:t> </a:t>
                </a:r>
                <a:endParaRPr b="1" sz="900">
                  <a:solidFill>
                    <a:srgbClr val="595959"/>
                  </a:solidFill>
                </a:endParaRPr>
              </a:p>
            </xdr:txBody>
          </xdr:sp>
        </xdr:grpSp>
      </xdr:grpSp>
    </xdr:grpSp>
    <xdr:clientData fLocksWithSheet="0"/>
  </xdr:oneCellAnchor>
  <xdr:oneCellAnchor>
    <xdr:from>
      <xdr:col>8</xdr:col>
      <xdr:colOff>142875</xdr:colOff>
      <xdr:row>1</xdr:row>
      <xdr:rowOff>0</xdr:rowOff>
    </xdr:from>
    <xdr:ext cx="2000250" cy="304800"/>
    <xdr:sp>
      <xdr:nvSpPr>
        <xdr:cNvPr id="30" name="Shape 30"/>
        <xdr:cNvSpPr txBox="1"/>
      </xdr:nvSpPr>
      <xdr:spPr>
        <a:xfrm>
          <a:off x="4350638" y="3632363"/>
          <a:ext cx="199072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 </a:t>
          </a:r>
          <a:endParaRPr b="1" i="0" sz="1200" u="none" strike="noStrike">
            <a:solidFill>
              <a:srgbClr val="A5A5A5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</xdr:col>
      <xdr:colOff>57150</xdr:colOff>
      <xdr:row>2</xdr:row>
      <xdr:rowOff>152400</xdr:rowOff>
    </xdr:from>
    <xdr:ext cx="1495425" cy="295275"/>
    <xdr:sp>
      <xdr:nvSpPr>
        <xdr:cNvPr id="31" name="Shape 31"/>
        <xdr:cNvSpPr txBox="1"/>
      </xdr:nvSpPr>
      <xdr:spPr>
        <a:xfrm>
          <a:off x="4603050" y="3637125"/>
          <a:ext cx="148590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 </a:t>
          </a:r>
          <a:endParaRPr b="1" i="0" sz="1000" u="none" strike="noStrike">
            <a:solidFill>
              <a:srgbClr val="4B8677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</xdr:col>
      <xdr:colOff>57150</xdr:colOff>
      <xdr:row>4</xdr:row>
      <xdr:rowOff>57150</xdr:rowOff>
    </xdr:from>
    <xdr:ext cx="1495425" cy="276225"/>
    <xdr:sp>
      <xdr:nvSpPr>
        <xdr:cNvPr id="32" name="Shape 32"/>
        <xdr:cNvSpPr txBox="1"/>
      </xdr:nvSpPr>
      <xdr:spPr>
        <a:xfrm>
          <a:off x="4603050" y="3646650"/>
          <a:ext cx="14859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 </a:t>
          </a:r>
          <a:endParaRPr b="1" i="0" sz="1000" u="none" strike="noStrike">
            <a:solidFill>
              <a:srgbClr val="4B8677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</xdr:col>
      <xdr:colOff>57150</xdr:colOff>
      <xdr:row>5</xdr:row>
      <xdr:rowOff>123825</xdr:rowOff>
    </xdr:from>
    <xdr:ext cx="1495425" cy="295275"/>
    <xdr:sp>
      <xdr:nvSpPr>
        <xdr:cNvPr id="33" name="Shape 33"/>
        <xdr:cNvSpPr txBox="1"/>
      </xdr:nvSpPr>
      <xdr:spPr>
        <a:xfrm>
          <a:off x="4603050" y="3637125"/>
          <a:ext cx="148590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 </a:t>
          </a:r>
          <a:endParaRPr b="1" i="0" sz="1000" u="none" strike="noStrike">
            <a:solidFill>
              <a:srgbClr val="4B8677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1</xdr:row>
      <xdr:rowOff>276225</xdr:rowOff>
    </xdr:from>
    <xdr:ext cx="11382375" cy="1009650"/>
    <xdr:graphicFrame>
      <xdr:nvGraphicFramePr>
        <xdr:cNvPr id="165884163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19050</xdr:colOff>
      <xdr:row>13</xdr:row>
      <xdr:rowOff>95250</xdr:rowOff>
    </xdr:from>
    <xdr:ext cx="12325350" cy="2257425"/>
    <xdr:graphicFrame>
      <xdr:nvGraphicFramePr>
        <xdr:cNvPr id="1231267985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0</xdr:row>
      <xdr:rowOff>85725</xdr:rowOff>
    </xdr:from>
    <xdr:ext cx="2381250" cy="333375"/>
    <xdr:sp>
      <xdr:nvSpPr>
        <xdr:cNvPr id="34" name="Shape 34"/>
        <xdr:cNvSpPr txBox="1"/>
      </xdr:nvSpPr>
      <xdr:spPr>
        <a:xfrm>
          <a:off x="4160138" y="3618075"/>
          <a:ext cx="237172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 </a:t>
          </a:r>
          <a:endParaRPr b="1" i="0" sz="2400" u="none" strike="noStrike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142875</xdr:colOff>
      <xdr:row>7</xdr:row>
      <xdr:rowOff>133350</xdr:rowOff>
    </xdr:from>
    <xdr:ext cx="3009900" cy="333375"/>
    <xdr:sp>
      <xdr:nvSpPr>
        <xdr:cNvPr id="35" name="Shape 35"/>
        <xdr:cNvSpPr txBox="1"/>
      </xdr:nvSpPr>
      <xdr:spPr>
        <a:xfrm>
          <a:off x="3845813" y="3618075"/>
          <a:ext cx="30003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 </a:t>
          </a:r>
          <a:endParaRPr b="1" i="0" sz="1400" u="none" strike="noStrike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57150</xdr:colOff>
      <xdr:row>1</xdr:row>
      <xdr:rowOff>0</xdr:rowOff>
    </xdr:from>
    <xdr:ext cx="133350" cy="123825"/>
    <xdr:sp>
      <xdr:nvSpPr>
        <xdr:cNvPr id="36" name="Shape 36"/>
        <xdr:cNvSpPr/>
      </xdr:nvSpPr>
      <xdr:spPr>
        <a:xfrm>
          <a:off x="5284088" y="3722850"/>
          <a:ext cx="123825" cy="114300"/>
        </a:xfrm>
        <a:prstGeom prst="ellipse">
          <a:avLst/>
        </a:prstGeom>
        <a:solidFill>
          <a:srgbClr val="47B9AB"/>
        </a:solidFill>
        <a:ln>
          <a:noFill/>
        </a:ln>
        <a:effectLst>
          <a:outerShdw blurRad="63500" sx="102000" rotWithShape="0" algn="ctr" sy="102000">
            <a:srgbClr val="000000">
              <a:alpha val="2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28575</xdr:colOff>
      <xdr:row>8</xdr:row>
      <xdr:rowOff>76200</xdr:rowOff>
    </xdr:from>
    <xdr:ext cx="123825" cy="123825"/>
    <xdr:sp>
      <xdr:nvSpPr>
        <xdr:cNvPr id="37" name="Shape 37"/>
        <xdr:cNvSpPr/>
      </xdr:nvSpPr>
      <xdr:spPr>
        <a:xfrm>
          <a:off x="5288850" y="3722850"/>
          <a:ext cx="114300" cy="114300"/>
        </a:xfrm>
        <a:prstGeom prst="ellipse">
          <a:avLst/>
        </a:prstGeom>
        <a:solidFill>
          <a:srgbClr val="47B9AB"/>
        </a:solidFill>
        <a:ln>
          <a:noFill/>
        </a:ln>
        <a:effectLst>
          <a:outerShdw blurRad="63500" sx="102000" rotWithShape="0" algn="ctr" sy="102000">
            <a:srgbClr val="000000">
              <a:alpha val="2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685800</xdr:colOff>
      <xdr:row>0</xdr:row>
      <xdr:rowOff>66675</xdr:rowOff>
    </xdr:from>
    <xdr:ext cx="3048000" cy="333375"/>
    <xdr:grpSp>
      <xdr:nvGrpSpPr>
        <xdr:cNvPr id="2" name="Shape 2"/>
        <xdr:cNvGrpSpPr/>
      </xdr:nvGrpSpPr>
      <xdr:grpSpPr>
        <a:xfrm>
          <a:off x="3822000" y="3613313"/>
          <a:ext cx="3048000" cy="333375"/>
          <a:chOff x="3822000" y="3613313"/>
          <a:chExt cx="3048000" cy="333375"/>
        </a:xfrm>
      </xdr:grpSpPr>
      <xdr:grpSp>
        <xdr:nvGrpSpPr>
          <xdr:cNvPr id="38" name="Shape 38"/>
          <xdr:cNvGrpSpPr/>
        </xdr:nvGrpSpPr>
        <xdr:grpSpPr>
          <a:xfrm>
            <a:off x="3822000" y="3613313"/>
            <a:ext cx="3048000" cy="333375"/>
            <a:chOff x="3822000" y="3613313"/>
            <a:chExt cx="3048000" cy="333375"/>
          </a:xfrm>
        </xdr:grpSpPr>
        <xdr:sp>
          <xdr:nvSpPr>
            <xdr:cNvPr id="9" name="Shape 9"/>
            <xdr:cNvSpPr/>
          </xdr:nvSpPr>
          <xdr:spPr>
            <a:xfrm>
              <a:off x="3822000" y="3613313"/>
              <a:ext cx="3048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9" name="Shape 39"/>
            <xdr:cNvGrpSpPr/>
          </xdr:nvGrpSpPr>
          <xdr:grpSpPr>
            <a:xfrm>
              <a:off x="3822000" y="3613313"/>
              <a:ext cx="3048000" cy="333375"/>
              <a:chOff x="9267826" y="28575"/>
              <a:chExt cx="3047999" cy="323850"/>
            </a:xfrm>
          </xdr:grpSpPr>
          <xdr:sp>
            <xdr:nvSpPr>
              <xdr:cNvPr id="40" name="Shape 40"/>
              <xdr:cNvSpPr/>
            </xdr:nvSpPr>
            <xdr:spPr>
              <a:xfrm>
                <a:off x="9267826" y="28575"/>
                <a:ext cx="3047975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1" name="Shape 41"/>
              <xdr:cNvGrpSpPr/>
            </xdr:nvGrpSpPr>
            <xdr:grpSpPr>
              <a:xfrm>
                <a:off x="9420225" y="66675"/>
                <a:ext cx="1890267" cy="264560"/>
                <a:chOff x="10582275" y="114300"/>
                <a:chExt cx="1890267" cy="264560"/>
              </a:xfrm>
            </xdr:grpSpPr>
            <xdr:cxnSp>
              <xdr:nvCxnSpPr>
                <xdr:cNvPr id="42" name="Shape 42"/>
                <xdr:cNvCxnSpPr/>
              </xdr:nvCxnSpPr>
              <xdr:spPr>
                <a:xfrm>
                  <a:off x="10582275" y="257175"/>
                  <a:ext cx="847725" cy="0"/>
                </a:xfrm>
                <a:prstGeom prst="straightConnector1">
                  <a:avLst/>
                </a:prstGeom>
                <a:noFill/>
                <a:ln cap="flat" cmpd="sng" w="15875">
                  <a:solidFill>
                    <a:srgbClr val="7F7F7F"/>
                  </a:solidFill>
                  <a:prstDash val="dash"/>
                  <a:miter lim="800000"/>
                  <a:headEnd len="sm" w="sm" type="none"/>
                  <a:tailEnd len="sm" w="sm" type="none"/>
                </a:ln>
              </xdr:spPr>
            </xdr:cxnSp>
            <xdr:sp>
              <xdr:nvSpPr>
                <xdr:cNvPr id="43" name="Shape 43"/>
                <xdr:cNvSpPr txBox="1"/>
              </xdr:nvSpPr>
              <xdr:spPr>
                <a:xfrm>
                  <a:off x="11468100" y="114300"/>
                  <a:ext cx="1004442" cy="26456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45700" lIns="91425" spcFirstLastPara="1" rIns="91425" wrap="square" tIns="45700">
                  <a:sp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595959"/>
                    </a:buClr>
                    <a:buSzPts val="1100"/>
                    <a:buFont typeface="Calibri"/>
                    <a:buNone/>
                  </a:pPr>
                  <a:r>
                    <a:rPr b="1" lang="en-US" sz="1100">
                      <a:solidFill>
                        <a:srgbClr val="595959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média mensal</a:t>
                  </a:r>
                  <a:endParaRPr sz="1400"/>
                </a:p>
              </xdr:txBody>
            </xdr:sp>
          </xdr:grpSp>
          <xdr:sp>
            <xdr:nvSpPr>
              <xdr:cNvPr id="44" name="Shape 44"/>
              <xdr:cNvSpPr/>
            </xdr:nvSpPr>
            <xdr:spPr>
              <a:xfrm>
                <a:off x="9267826" y="28575"/>
                <a:ext cx="3028950" cy="323850"/>
              </a:xfrm>
              <a:prstGeom prst="roundRect">
                <a:avLst>
                  <a:gd fmla="val 16667" name="adj"/>
                </a:avLst>
              </a:prstGeom>
              <a:noFill/>
              <a:ln cap="flat" cmpd="sng" w="12700">
                <a:solidFill>
                  <a:srgbClr val="D8D8D8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45" name="Shape 45"/>
              <xdr:cNvSpPr txBox="1"/>
            </xdr:nvSpPr>
            <xdr:spPr>
              <a:xfrm>
                <a:off x="11325225" y="66675"/>
                <a:ext cx="990600" cy="26456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rPr lang="en-US" sz="1400"/>
                  <a:t> </a:t>
                </a:r>
                <a:endParaRPr b="1" sz="1200">
                  <a:solidFill>
                    <a:srgbClr val="595959"/>
                  </a:solidFill>
                </a:endParaRPr>
              </a:p>
            </xdr:txBody>
          </xdr:sp>
        </xdr:grp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31.86"/>
    <col customWidth="1" min="3" max="14" width="11.43"/>
    <col customWidth="1" min="15" max="15" width="13.86"/>
    <col customWidth="1" min="16" max="26" width="8.71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"/>
      <c r="B10" s="3"/>
      <c r="C10" s="4" t="s">
        <v>0</v>
      </c>
      <c r="D10" s="4" t="s">
        <v>1</v>
      </c>
      <c r="E10" s="4" t="s">
        <v>2</v>
      </c>
      <c r="F10" s="4" t="s">
        <v>3</v>
      </c>
      <c r="G10" s="4" t="s">
        <v>4</v>
      </c>
      <c r="H10" s="4" t="s">
        <v>5</v>
      </c>
      <c r="I10" s="4" t="s">
        <v>6</v>
      </c>
      <c r="J10" s="4" t="s">
        <v>7</v>
      </c>
      <c r="K10" s="4" t="s">
        <v>8</v>
      </c>
      <c r="L10" s="4" t="s">
        <v>9</v>
      </c>
      <c r="M10" s="4" t="s">
        <v>10</v>
      </c>
      <c r="N10" s="4" t="s">
        <v>11</v>
      </c>
      <c r="O10" s="5" t="s">
        <v>12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>
        <v>1.0</v>
      </c>
      <c r="B11" s="7" t="s">
        <v>13</v>
      </c>
      <c r="C11" s="8">
        <v>700.0</v>
      </c>
      <c r="D11" s="8">
        <v>500.0</v>
      </c>
      <c r="E11" s="8">
        <v>500.0</v>
      </c>
      <c r="F11" s="8">
        <v>500.0</v>
      </c>
      <c r="G11" s="8">
        <v>500.0</v>
      </c>
      <c r="H11" s="8">
        <v>500.0</v>
      </c>
      <c r="I11" s="8">
        <v>500.0</v>
      </c>
      <c r="J11" s="9">
        <v>500.0</v>
      </c>
      <c r="K11" s="9">
        <v>500.0</v>
      </c>
      <c r="L11" s="9">
        <v>500.0</v>
      </c>
      <c r="M11" s="9">
        <v>500.0</v>
      </c>
      <c r="N11" s="9">
        <v>500.0</v>
      </c>
      <c r="O11" s="10">
        <f t="shared" ref="O11:O12" si="1">SUM(C11:N11)</f>
        <v>6200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>
        <v>2.0</v>
      </c>
      <c r="B12" s="7" t="s">
        <v>14</v>
      </c>
      <c r="C12" s="8">
        <v>157.0</v>
      </c>
      <c r="D12" s="9"/>
      <c r="E12" s="11">
        <v>174.77</v>
      </c>
      <c r="F12" s="11">
        <v>176.0</v>
      </c>
      <c r="G12" s="11">
        <v>244.0</v>
      </c>
      <c r="H12" s="11">
        <v>223.0</v>
      </c>
      <c r="I12" s="11">
        <v>246.0</v>
      </c>
      <c r="J12" s="12">
        <v>326.0</v>
      </c>
      <c r="K12" s="9"/>
      <c r="L12" s="9"/>
      <c r="M12" s="9"/>
      <c r="N12" s="9"/>
      <c r="O12" s="10">
        <f t="shared" si="1"/>
        <v>1546.77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/>
      <c r="B13" s="7" t="s">
        <v>15</v>
      </c>
      <c r="C13" s="13" t="s">
        <v>16</v>
      </c>
      <c r="D13" s="9"/>
      <c r="E13" s="11">
        <v>52.0</v>
      </c>
      <c r="F13" s="11">
        <v>77.0</v>
      </c>
      <c r="G13" s="11">
        <v>100.0</v>
      </c>
      <c r="H13" s="11">
        <v>100.0</v>
      </c>
      <c r="I13" s="11">
        <v>100.0</v>
      </c>
      <c r="J13" s="12">
        <v>100.0</v>
      </c>
      <c r="K13" s="12">
        <v>100.0</v>
      </c>
      <c r="L13" s="12">
        <v>100.0</v>
      </c>
      <c r="M13" s="12">
        <v>100.0</v>
      </c>
      <c r="N13" s="12">
        <v>100.0</v>
      </c>
      <c r="O13" s="1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>
        <v>3.0</v>
      </c>
      <c r="B14" s="7" t="s">
        <v>17</v>
      </c>
      <c r="C14" s="8">
        <v>67.0</v>
      </c>
      <c r="D14" s="8">
        <v>103.0</v>
      </c>
      <c r="E14" s="8">
        <v>99.0</v>
      </c>
      <c r="F14" s="11">
        <v>120.0</v>
      </c>
      <c r="G14" s="11">
        <v>120.0</v>
      </c>
      <c r="H14" s="11">
        <v>120.0</v>
      </c>
      <c r="I14" s="8">
        <v>99.0</v>
      </c>
      <c r="J14" s="9">
        <v>99.0</v>
      </c>
      <c r="K14" s="9">
        <v>99.0</v>
      </c>
      <c r="L14" s="9">
        <v>99.0</v>
      </c>
      <c r="M14" s="9">
        <v>99.0</v>
      </c>
      <c r="N14" s="9">
        <v>99.0</v>
      </c>
      <c r="O14" s="10">
        <f t="shared" ref="O14:O42" si="2">SUM(C14:N14)</f>
        <v>1223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>
        <v>4.0</v>
      </c>
      <c r="B15" s="14" t="s">
        <v>18</v>
      </c>
      <c r="C15" s="8">
        <v>53.0</v>
      </c>
      <c r="D15" s="8">
        <v>53.0</v>
      </c>
      <c r="E15" s="8">
        <v>53.0</v>
      </c>
      <c r="F15" s="8">
        <v>53.0</v>
      </c>
      <c r="G15" s="8">
        <v>53.0</v>
      </c>
      <c r="H15" s="8">
        <v>53.0</v>
      </c>
      <c r="I15" s="8">
        <v>53.0</v>
      </c>
      <c r="J15" s="9">
        <v>53.0</v>
      </c>
      <c r="K15" s="9">
        <v>53.0</v>
      </c>
      <c r="L15" s="9">
        <v>53.0</v>
      </c>
      <c r="M15" s="9">
        <v>53.0</v>
      </c>
      <c r="N15" s="9">
        <v>53.0</v>
      </c>
      <c r="O15" s="10">
        <f t="shared" si="2"/>
        <v>636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>
        <v>5.0</v>
      </c>
      <c r="B16" s="7" t="s">
        <v>19</v>
      </c>
      <c r="C16" s="8">
        <v>260.0</v>
      </c>
      <c r="D16" s="8">
        <v>260.0</v>
      </c>
      <c r="E16" s="8">
        <v>260.0</v>
      </c>
      <c r="F16" s="8">
        <v>260.0</v>
      </c>
      <c r="G16" s="8">
        <v>260.0</v>
      </c>
      <c r="H16" s="8">
        <v>260.0</v>
      </c>
      <c r="I16" s="8">
        <v>260.0</v>
      </c>
      <c r="J16" s="9">
        <v>260.0</v>
      </c>
      <c r="K16" s="9">
        <v>260.0</v>
      </c>
      <c r="L16" s="9">
        <v>260.0</v>
      </c>
      <c r="M16" s="9">
        <v>260.0</v>
      </c>
      <c r="N16" s="9">
        <v>260.0</v>
      </c>
      <c r="O16" s="10">
        <f t="shared" si="2"/>
        <v>3120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>
        <v>6.0</v>
      </c>
      <c r="B17" s="7" t="s">
        <v>20</v>
      </c>
      <c r="C17" s="8">
        <v>38.0</v>
      </c>
      <c r="D17" s="8">
        <v>38.0</v>
      </c>
      <c r="E17" s="11">
        <v>32.0</v>
      </c>
      <c r="F17" s="11">
        <v>32.0</v>
      </c>
      <c r="G17" s="11">
        <v>32.0</v>
      </c>
      <c r="H17" s="11">
        <v>32.0</v>
      </c>
      <c r="I17" s="11">
        <v>32.0</v>
      </c>
      <c r="J17" s="12">
        <v>32.0</v>
      </c>
      <c r="K17" s="12">
        <v>32.0</v>
      </c>
      <c r="L17" s="12">
        <v>32.0</v>
      </c>
      <c r="M17" s="12">
        <v>32.0</v>
      </c>
      <c r="N17" s="12">
        <v>32.0</v>
      </c>
      <c r="O17" s="10">
        <f t="shared" si="2"/>
        <v>396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>
        <v>7.0</v>
      </c>
      <c r="B18" s="7" t="s">
        <v>21</v>
      </c>
      <c r="C18" s="8">
        <v>10.0</v>
      </c>
      <c r="D18" s="8">
        <v>10.0</v>
      </c>
      <c r="E18" s="8">
        <v>10.0</v>
      </c>
      <c r="F18" s="8">
        <v>10.0</v>
      </c>
      <c r="G18" s="8">
        <v>10.0</v>
      </c>
      <c r="H18" s="8">
        <v>10.0</v>
      </c>
      <c r="I18" s="8">
        <v>10.0</v>
      </c>
      <c r="J18" s="9">
        <v>10.0</v>
      </c>
      <c r="K18" s="9">
        <v>10.0</v>
      </c>
      <c r="L18" s="9">
        <v>10.0</v>
      </c>
      <c r="M18" s="9">
        <v>10.0</v>
      </c>
      <c r="N18" s="9">
        <v>10.0</v>
      </c>
      <c r="O18" s="10">
        <f t="shared" si="2"/>
        <v>120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>
        <v>8.0</v>
      </c>
      <c r="B19" s="7" t="s">
        <v>22</v>
      </c>
      <c r="C19" s="8">
        <v>20.0</v>
      </c>
      <c r="D19" s="8">
        <v>20.0</v>
      </c>
      <c r="E19" s="8">
        <v>20.0</v>
      </c>
      <c r="F19" s="11">
        <v>60.0</v>
      </c>
      <c r="G19" s="11" t="s">
        <v>16</v>
      </c>
      <c r="H19" s="11" t="s">
        <v>16</v>
      </c>
      <c r="I19" s="11">
        <v>10.0</v>
      </c>
      <c r="J19" s="12">
        <v>10.0</v>
      </c>
      <c r="K19" s="12">
        <v>10.0</v>
      </c>
      <c r="L19" s="12">
        <v>10.0</v>
      </c>
      <c r="M19" s="12">
        <v>10.0</v>
      </c>
      <c r="N19" s="12">
        <v>10.0</v>
      </c>
      <c r="O19" s="10">
        <f t="shared" si="2"/>
        <v>180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>
        <v>9.0</v>
      </c>
      <c r="B20" s="7" t="s">
        <v>23</v>
      </c>
      <c r="C20" s="8">
        <v>27.0</v>
      </c>
      <c r="D20" s="8">
        <v>27.0</v>
      </c>
      <c r="E20" s="8">
        <v>27.0</v>
      </c>
      <c r="F20" s="8">
        <v>27.0</v>
      </c>
      <c r="G20" s="8">
        <v>27.0</v>
      </c>
      <c r="H20" s="8">
        <v>27.0</v>
      </c>
      <c r="I20" s="8">
        <v>27.0</v>
      </c>
      <c r="J20" s="15">
        <v>27.0</v>
      </c>
      <c r="K20" s="15">
        <v>27.0</v>
      </c>
      <c r="L20" s="15">
        <v>27.0</v>
      </c>
      <c r="M20" s="15">
        <v>27.0</v>
      </c>
      <c r="N20" s="15">
        <v>27.0</v>
      </c>
      <c r="O20" s="10">
        <f t="shared" si="2"/>
        <v>324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/>
      <c r="B21" s="14" t="s">
        <v>24</v>
      </c>
      <c r="C21" s="12" t="s">
        <v>16</v>
      </c>
      <c r="D21" s="12" t="s">
        <v>16</v>
      </c>
      <c r="E21" s="11">
        <v>20.0</v>
      </c>
      <c r="F21" s="11">
        <v>20.0</v>
      </c>
      <c r="G21" s="11">
        <v>20.0</v>
      </c>
      <c r="H21" s="11">
        <v>20.0</v>
      </c>
      <c r="I21" s="11">
        <v>20.0</v>
      </c>
      <c r="J21" s="16">
        <v>20.0</v>
      </c>
      <c r="K21" s="16">
        <v>20.0</v>
      </c>
      <c r="L21" s="16">
        <v>20.0</v>
      </c>
      <c r="M21" s="16">
        <v>20.0</v>
      </c>
      <c r="N21" s="16">
        <v>20.0</v>
      </c>
      <c r="O21" s="10">
        <f t="shared" si="2"/>
        <v>200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idden="1">
      <c r="A22" s="6">
        <v>10.0</v>
      </c>
      <c r="B22" s="7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0">
        <f t="shared" si="2"/>
        <v>0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hidden="1" customHeight="1">
      <c r="A23" s="6">
        <v>11.0</v>
      </c>
      <c r="B23" s="7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0">
        <f t="shared" si="2"/>
        <v>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hidden="1" customHeight="1">
      <c r="A24" s="6">
        <v>12.0</v>
      </c>
      <c r="B24" s="7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0">
        <f t="shared" si="2"/>
        <v>0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hidden="1" customHeight="1">
      <c r="A25" s="6">
        <v>13.0</v>
      </c>
      <c r="B25" s="7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0">
        <f t="shared" si="2"/>
        <v>0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hidden="1" customHeight="1">
      <c r="A26" s="6">
        <v>14.0</v>
      </c>
      <c r="B26" s="7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0">
        <f t="shared" si="2"/>
        <v>0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hidden="1" customHeight="1">
      <c r="A27" s="6">
        <v>15.0</v>
      </c>
      <c r="B27" s="7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0">
        <f t="shared" si="2"/>
        <v>0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hidden="1" customHeight="1">
      <c r="A28" s="6">
        <v>16.0</v>
      </c>
      <c r="B28" s="7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0">
        <f t="shared" si="2"/>
        <v>0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hidden="1" customHeight="1">
      <c r="A29" s="6">
        <v>17.0</v>
      </c>
      <c r="B29" s="7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>
        <f t="shared" si="2"/>
        <v>0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hidden="1" customHeight="1">
      <c r="A30" s="6">
        <v>18.0</v>
      </c>
      <c r="B30" s="7" t="s">
        <v>23</v>
      </c>
      <c r="C30" s="8">
        <v>27.0</v>
      </c>
      <c r="D30" s="15">
        <v>27.0</v>
      </c>
      <c r="E30" s="15">
        <v>27.0</v>
      </c>
      <c r="F30" s="15">
        <v>27.0</v>
      </c>
      <c r="G30" s="15">
        <v>27.0</v>
      </c>
      <c r="H30" s="15">
        <v>27.0</v>
      </c>
      <c r="I30" s="15">
        <v>27.0</v>
      </c>
      <c r="J30" s="15">
        <v>27.0</v>
      </c>
      <c r="K30" s="15">
        <v>27.0</v>
      </c>
      <c r="L30" s="15">
        <v>27.0</v>
      </c>
      <c r="M30" s="15">
        <v>27.0</v>
      </c>
      <c r="N30" s="15">
        <v>27.0</v>
      </c>
      <c r="O30" s="10">
        <f t="shared" si="2"/>
        <v>324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6">
        <v>19.0</v>
      </c>
      <c r="B31" s="7" t="s">
        <v>25</v>
      </c>
      <c r="C31" s="9" t="s">
        <v>16</v>
      </c>
      <c r="D31" s="8">
        <v>87.0</v>
      </c>
      <c r="E31" s="8">
        <v>55.0</v>
      </c>
      <c r="F31" s="8">
        <v>55.0</v>
      </c>
      <c r="G31" s="8">
        <v>55.0</v>
      </c>
      <c r="H31" s="8">
        <v>55.0</v>
      </c>
      <c r="I31" s="8">
        <v>55.0</v>
      </c>
      <c r="J31" s="9">
        <v>55.0</v>
      </c>
      <c r="K31" s="9">
        <v>55.0</v>
      </c>
      <c r="L31" s="9">
        <v>55.0</v>
      </c>
      <c r="M31" s="9">
        <v>55.0</v>
      </c>
      <c r="N31" s="9">
        <v>55.0</v>
      </c>
      <c r="O31" s="10">
        <f t="shared" si="2"/>
        <v>637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hidden="1" customHeight="1">
      <c r="A32" s="6">
        <v>20.0</v>
      </c>
      <c r="B32" s="7" t="s">
        <v>26</v>
      </c>
      <c r="C32" s="8">
        <v>162.0</v>
      </c>
      <c r="D32" s="9">
        <v>162.0</v>
      </c>
      <c r="E32" s="9">
        <v>162.0</v>
      </c>
      <c r="F32" s="9">
        <v>162.0</v>
      </c>
      <c r="G32" s="9"/>
      <c r="H32" s="9"/>
      <c r="I32" s="9"/>
      <c r="J32" s="9"/>
      <c r="K32" s="9"/>
      <c r="L32" s="9"/>
      <c r="M32" s="9"/>
      <c r="N32" s="9"/>
      <c r="O32" s="10">
        <f t="shared" si="2"/>
        <v>648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6">
        <v>21.0</v>
      </c>
      <c r="B33" s="7" t="s">
        <v>27</v>
      </c>
      <c r="C33" s="8">
        <v>177.0</v>
      </c>
      <c r="D33" s="8">
        <v>177.0</v>
      </c>
      <c r="E33" s="8">
        <v>180.0</v>
      </c>
      <c r="F33" s="8">
        <v>180.0</v>
      </c>
      <c r="G33" s="8">
        <v>180.0</v>
      </c>
      <c r="H33" s="8">
        <v>180.0</v>
      </c>
      <c r="I33" s="12" t="s">
        <v>16</v>
      </c>
      <c r="J33" s="12" t="s">
        <v>16</v>
      </c>
      <c r="K33" s="12" t="s">
        <v>16</v>
      </c>
      <c r="L33" s="12" t="s">
        <v>16</v>
      </c>
      <c r="M33" s="12" t="s">
        <v>16</v>
      </c>
      <c r="N33" s="12" t="s">
        <v>16</v>
      </c>
      <c r="O33" s="10">
        <f t="shared" si="2"/>
        <v>1074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6">
        <v>22.0</v>
      </c>
      <c r="B34" s="7" t="s">
        <v>26</v>
      </c>
      <c r="C34" s="8">
        <v>162.0</v>
      </c>
      <c r="D34" s="8">
        <v>162.0</v>
      </c>
      <c r="E34" s="8">
        <v>162.0</v>
      </c>
      <c r="F34" s="8">
        <v>162.0</v>
      </c>
      <c r="G34" s="11">
        <v>50.0</v>
      </c>
      <c r="H34" s="11">
        <v>50.0</v>
      </c>
      <c r="I34" s="12" t="s">
        <v>16</v>
      </c>
      <c r="J34" s="12" t="s">
        <v>16</v>
      </c>
      <c r="K34" s="12" t="s">
        <v>16</v>
      </c>
      <c r="L34" s="12" t="s">
        <v>16</v>
      </c>
      <c r="M34" s="12" t="s">
        <v>16</v>
      </c>
      <c r="N34" s="12" t="s">
        <v>16</v>
      </c>
      <c r="O34" s="10">
        <f t="shared" si="2"/>
        <v>748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6">
        <v>23.0</v>
      </c>
      <c r="B35" s="7" t="s">
        <v>28</v>
      </c>
      <c r="C35" s="8">
        <v>62.0</v>
      </c>
      <c r="D35" s="8">
        <v>62.0</v>
      </c>
      <c r="E35" s="11">
        <v>141.0</v>
      </c>
      <c r="F35" s="11">
        <v>400.0</v>
      </c>
      <c r="G35" s="11">
        <v>440.0</v>
      </c>
      <c r="H35" s="11">
        <v>400.0</v>
      </c>
      <c r="I35" s="11">
        <v>400.0</v>
      </c>
      <c r="J35" s="12">
        <v>275.0</v>
      </c>
      <c r="K35" s="9"/>
      <c r="L35" s="9"/>
      <c r="M35" s="9"/>
      <c r="N35" s="9"/>
      <c r="O35" s="10">
        <f t="shared" si="2"/>
        <v>2180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6">
        <v>24.0</v>
      </c>
      <c r="B36" s="7" t="s">
        <v>29</v>
      </c>
      <c r="C36" s="8">
        <v>86.0</v>
      </c>
      <c r="D36" s="8">
        <v>86.0</v>
      </c>
      <c r="E36" s="8">
        <v>86.0</v>
      </c>
      <c r="F36" s="8">
        <v>86.0</v>
      </c>
      <c r="G36" s="12"/>
      <c r="H36" s="12"/>
      <c r="I36" s="11">
        <v>93.0</v>
      </c>
      <c r="J36" s="12">
        <v>93.0</v>
      </c>
      <c r="K36" s="12">
        <v>93.0</v>
      </c>
      <c r="L36" s="12">
        <v>93.0</v>
      </c>
      <c r="M36" s="12" t="s">
        <v>16</v>
      </c>
      <c r="N36" s="12" t="s">
        <v>16</v>
      </c>
      <c r="O36" s="10">
        <f t="shared" si="2"/>
        <v>716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6">
        <v>25.0</v>
      </c>
      <c r="B37" s="7" t="s">
        <v>30</v>
      </c>
      <c r="C37" s="8">
        <v>96.0</v>
      </c>
      <c r="D37" s="8">
        <v>96.0</v>
      </c>
      <c r="E37" s="8">
        <v>96.0</v>
      </c>
      <c r="F37" s="16" t="s">
        <v>16</v>
      </c>
      <c r="G37" s="16" t="s">
        <v>16</v>
      </c>
      <c r="H37" s="16" t="s">
        <v>16</v>
      </c>
      <c r="I37" s="16" t="s">
        <v>16</v>
      </c>
      <c r="J37" s="16" t="s">
        <v>16</v>
      </c>
      <c r="K37" s="16" t="s">
        <v>16</v>
      </c>
      <c r="L37" s="16" t="s">
        <v>16</v>
      </c>
      <c r="M37" s="16" t="s">
        <v>16</v>
      </c>
      <c r="N37" s="16" t="s">
        <v>31</v>
      </c>
      <c r="O37" s="10">
        <f t="shared" si="2"/>
        <v>288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6">
        <v>26.0</v>
      </c>
      <c r="B38" s="7" t="s">
        <v>27</v>
      </c>
      <c r="C38" s="8">
        <v>70.0</v>
      </c>
      <c r="D38" s="8">
        <v>70.0</v>
      </c>
      <c r="E38" s="15" t="s">
        <v>16</v>
      </c>
      <c r="F38" s="15" t="s">
        <v>16</v>
      </c>
      <c r="G38" s="15" t="s">
        <v>16</v>
      </c>
      <c r="H38" s="15" t="s">
        <v>16</v>
      </c>
      <c r="I38" s="9"/>
      <c r="J38" s="15" t="s">
        <v>16</v>
      </c>
      <c r="K38" s="15" t="s">
        <v>16</v>
      </c>
      <c r="L38" s="15" t="s">
        <v>16</v>
      </c>
      <c r="M38" s="15" t="s">
        <v>16</v>
      </c>
      <c r="N38" s="15" t="s">
        <v>16</v>
      </c>
      <c r="O38" s="10">
        <f t="shared" si="2"/>
        <v>140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6">
        <v>27.0</v>
      </c>
      <c r="B39" s="7" t="s">
        <v>32</v>
      </c>
      <c r="C39" s="12" t="s">
        <v>16</v>
      </c>
      <c r="D39" s="17" t="s">
        <v>16</v>
      </c>
      <c r="E39" s="11">
        <v>92.0</v>
      </c>
      <c r="F39" s="16" t="s">
        <v>16</v>
      </c>
      <c r="G39" s="16"/>
      <c r="H39" s="16"/>
      <c r="I39" s="16"/>
      <c r="J39" s="15"/>
      <c r="K39" s="15"/>
      <c r="L39" s="15"/>
      <c r="M39" s="15"/>
      <c r="N39" s="15"/>
      <c r="O39" s="10">
        <f t="shared" si="2"/>
        <v>92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6">
        <v>28.0</v>
      </c>
      <c r="B40" s="14" t="s">
        <v>33</v>
      </c>
      <c r="C40" s="9"/>
      <c r="D40" s="17"/>
      <c r="E40" s="17"/>
      <c r="F40" s="11">
        <v>113.0</v>
      </c>
      <c r="G40" s="11">
        <v>113.0</v>
      </c>
      <c r="H40" s="11">
        <v>113.0</v>
      </c>
      <c r="I40" s="11">
        <v>113.0</v>
      </c>
      <c r="J40" s="16" t="s">
        <v>16</v>
      </c>
      <c r="K40" s="16" t="s">
        <v>16</v>
      </c>
      <c r="L40" s="16" t="s">
        <v>16</v>
      </c>
      <c r="M40" s="16" t="s">
        <v>16</v>
      </c>
      <c r="N40" s="16" t="s">
        <v>16</v>
      </c>
      <c r="O40" s="10">
        <f t="shared" si="2"/>
        <v>452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6">
        <v>29.0</v>
      </c>
      <c r="B41" s="14" t="s">
        <v>34</v>
      </c>
      <c r="C41" s="9"/>
      <c r="D41" s="9"/>
      <c r="E41" s="9"/>
      <c r="F41" s="15"/>
      <c r="G41" s="11">
        <v>213.0</v>
      </c>
      <c r="H41" s="11">
        <v>213.0</v>
      </c>
      <c r="I41" s="11">
        <v>213.0</v>
      </c>
      <c r="J41" s="16">
        <v>213.0</v>
      </c>
      <c r="K41" s="16">
        <v>213.0</v>
      </c>
      <c r="L41" s="16">
        <v>213.0</v>
      </c>
      <c r="M41" s="15"/>
      <c r="N41" s="15"/>
      <c r="O41" s="10">
        <f t="shared" si="2"/>
        <v>1278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6">
        <v>30.0</v>
      </c>
      <c r="B42" s="14" t="s">
        <v>35</v>
      </c>
      <c r="C42" s="9"/>
      <c r="D42" s="9"/>
      <c r="E42" s="15"/>
      <c r="F42" s="15"/>
      <c r="G42" s="15"/>
      <c r="H42" s="15"/>
      <c r="I42" s="11">
        <v>105.5</v>
      </c>
      <c r="J42" s="16">
        <v>105.5</v>
      </c>
      <c r="K42" s="16">
        <v>105.5</v>
      </c>
      <c r="L42" s="16">
        <v>105.5</v>
      </c>
      <c r="M42" s="15"/>
      <c r="N42" s="15"/>
      <c r="O42" s="10">
        <f t="shared" si="2"/>
        <v>422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6"/>
      <c r="B43" s="14" t="s">
        <v>36</v>
      </c>
      <c r="C43" s="18"/>
      <c r="D43" s="19"/>
      <c r="E43" s="20"/>
      <c r="F43" s="20"/>
      <c r="G43" s="20"/>
      <c r="H43" s="20"/>
      <c r="I43" s="21">
        <v>278.35</v>
      </c>
      <c r="J43" s="22">
        <v>278.35</v>
      </c>
      <c r="K43" s="22">
        <v>278.35</v>
      </c>
      <c r="L43" s="22">
        <v>278.35</v>
      </c>
      <c r="M43" s="22">
        <v>278.35</v>
      </c>
      <c r="N43" s="22">
        <v>278.35</v>
      </c>
      <c r="O43" s="2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9.25" customHeight="1">
      <c r="A44" s="2"/>
      <c r="B44" s="5" t="s">
        <v>37</v>
      </c>
      <c r="C44" s="24">
        <f t="shared" ref="C44:H44" si="3">SUM(C11:C42)</f>
        <v>2174</v>
      </c>
      <c r="D44" s="25">
        <f t="shared" si="3"/>
        <v>1940</v>
      </c>
      <c r="E44" s="25">
        <f t="shared" si="3"/>
        <v>2248.77</v>
      </c>
      <c r="F44" s="25">
        <f t="shared" si="3"/>
        <v>2520</v>
      </c>
      <c r="G44" s="25">
        <f t="shared" si="3"/>
        <v>2444</v>
      </c>
      <c r="H44" s="25">
        <f t="shared" si="3"/>
        <v>2383</v>
      </c>
      <c r="I44" s="25">
        <f>SUM(I11:I43)</f>
        <v>2641.85</v>
      </c>
      <c r="J44" s="25">
        <f t="shared" ref="J44:O44" si="4">SUM(J11:J42)</f>
        <v>2205.5</v>
      </c>
      <c r="K44" s="25">
        <f t="shared" si="4"/>
        <v>1604.5</v>
      </c>
      <c r="L44" s="25">
        <f t="shared" si="4"/>
        <v>1604.5</v>
      </c>
      <c r="M44" s="25">
        <f t="shared" si="4"/>
        <v>1193</v>
      </c>
      <c r="N44" s="26">
        <f t="shared" si="4"/>
        <v>1193</v>
      </c>
      <c r="O44" s="27">
        <f t="shared" si="4"/>
        <v>22944.77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15.86"/>
    <col customWidth="1" min="3" max="15" width="13.86"/>
    <col customWidth="1" min="16" max="17" width="9.14"/>
    <col customWidth="1" min="18" max="26" width="8.71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99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2.75" customHeight="1">
      <c r="A4" s="28"/>
      <c r="B4" s="29" t="s">
        <v>12</v>
      </c>
      <c r="C4" s="30">
        <f>Dados!C44</f>
        <v>2174</v>
      </c>
      <c r="D4" s="31">
        <f>Dados!D44</f>
        <v>1940</v>
      </c>
      <c r="E4" s="31">
        <f>Dados!E44</f>
        <v>2248.77</v>
      </c>
      <c r="F4" s="31">
        <f>Dados!F44</f>
        <v>2520</v>
      </c>
      <c r="G4" s="31">
        <f>Dados!G44</f>
        <v>2444</v>
      </c>
      <c r="H4" s="31">
        <f>Dados!H44</f>
        <v>2383</v>
      </c>
      <c r="I4" s="31">
        <f>Dados!I44</f>
        <v>2641.85</v>
      </c>
      <c r="J4" s="31">
        <f>Dados!J44</f>
        <v>2205.5</v>
      </c>
      <c r="K4" s="31">
        <f>Dados!K44</f>
        <v>1604.5</v>
      </c>
      <c r="L4" s="31">
        <f>Dados!L44</f>
        <v>1604.5</v>
      </c>
      <c r="M4" s="31">
        <f>Dados!M44</f>
        <v>1193</v>
      </c>
      <c r="N4" s="31">
        <f>Dados!N44</f>
        <v>1193</v>
      </c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28"/>
      <c r="B5" s="32" t="s">
        <v>38</v>
      </c>
      <c r="C5" s="33"/>
      <c r="D5" s="34">
        <f t="shared" ref="D5:N5" si="1">IFERROR((D4-C4)/C4,"-")</f>
        <v>-0.1076356946</v>
      </c>
      <c r="E5" s="34">
        <f t="shared" si="1"/>
        <v>0.1591597938</v>
      </c>
      <c r="F5" s="34">
        <f t="shared" si="1"/>
        <v>0.1206126016</v>
      </c>
      <c r="G5" s="34">
        <f t="shared" si="1"/>
        <v>-0.03015873016</v>
      </c>
      <c r="H5" s="34">
        <f t="shared" si="1"/>
        <v>-0.02495908347</v>
      </c>
      <c r="I5" s="34">
        <f t="shared" si="1"/>
        <v>0.1086235837</v>
      </c>
      <c r="J5" s="34">
        <f t="shared" si="1"/>
        <v>-0.1651683479</v>
      </c>
      <c r="K5" s="34">
        <f t="shared" si="1"/>
        <v>-0.2725005668</v>
      </c>
      <c r="L5" s="34">
        <f t="shared" si="1"/>
        <v>0</v>
      </c>
      <c r="M5" s="34">
        <f t="shared" si="1"/>
        <v>-0.2564661888</v>
      </c>
      <c r="N5" s="34">
        <f t="shared" si="1"/>
        <v>0</v>
      </c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5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1.75" customHeight="1">
      <c r="A9" s="2"/>
      <c r="B9" s="2"/>
      <c r="C9" s="2"/>
      <c r="D9" s="2"/>
      <c r="E9" s="35" t="s">
        <v>13</v>
      </c>
      <c r="F9" s="36"/>
      <c r="G9" s="37"/>
      <c r="H9" s="6" t="s">
        <v>39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0.5" customHeight="1">
      <c r="A10" s="3"/>
      <c r="B10" s="2"/>
      <c r="C10" s="38">
        <v>1.0</v>
      </c>
      <c r="D10" s="38">
        <v>2.0</v>
      </c>
      <c r="E10" s="38">
        <v>3.0</v>
      </c>
      <c r="F10" s="38">
        <v>4.0</v>
      </c>
      <c r="G10" s="38">
        <v>5.0</v>
      </c>
      <c r="H10" s="38">
        <v>6.0</v>
      </c>
      <c r="I10" s="38">
        <v>7.0</v>
      </c>
      <c r="J10" s="38">
        <v>8.0</v>
      </c>
      <c r="K10" s="38">
        <v>9.0</v>
      </c>
      <c r="L10" s="38">
        <v>10.0</v>
      </c>
      <c r="M10" s="38">
        <v>11.0</v>
      </c>
      <c r="N10" s="38">
        <v>12.0</v>
      </c>
      <c r="O10" s="2"/>
      <c r="P10" s="2"/>
      <c r="Q10" s="2"/>
      <c r="R10" s="3"/>
      <c r="S10" s="3"/>
      <c r="T10" s="3"/>
      <c r="U10" s="3"/>
      <c r="V10" s="3"/>
      <c r="W10" s="3"/>
      <c r="X10" s="3"/>
      <c r="Y10" s="3"/>
      <c r="Z10" s="3"/>
    </row>
    <row r="11">
      <c r="A11" s="6"/>
      <c r="B11" s="2"/>
      <c r="C11" s="4" t="s">
        <v>0</v>
      </c>
      <c r="D11" s="4" t="s">
        <v>1</v>
      </c>
      <c r="E11" s="4" t="s">
        <v>2</v>
      </c>
      <c r="F11" s="4" t="s">
        <v>3</v>
      </c>
      <c r="G11" s="4" t="s">
        <v>4</v>
      </c>
      <c r="H11" s="4" t="s">
        <v>5</v>
      </c>
      <c r="I11" s="4" t="s">
        <v>6</v>
      </c>
      <c r="J11" s="4" t="s">
        <v>7</v>
      </c>
      <c r="K11" s="4" t="s">
        <v>8</v>
      </c>
      <c r="L11" s="4" t="s">
        <v>9</v>
      </c>
      <c r="M11" s="4" t="s">
        <v>10</v>
      </c>
      <c r="N11" s="4" t="s">
        <v>11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0.75" customHeight="1">
      <c r="A12" s="6"/>
      <c r="B12" s="29" t="s">
        <v>12</v>
      </c>
      <c r="C12" s="30">
        <f t="array" ref="C12">INDEX(Dados!$C$11:$N$42,MATCH($E$9,Dados!$B$11:$B$42,0),C10)</f>
        <v>700</v>
      </c>
      <c r="D12" s="30">
        <f t="array" ref="D12">INDEX(Dados!$C$11:$N$42,MATCH($E$9,Dados!$B$11:$B$42,0),D10)</f>
        <v>500</v>
      </c>
      <c r="E12" s="30">
        <f t="array" ref="E12">INDEX(Dados!$C$11:$N$42,MATCH($E$9,Dados!$B$11:$B$42,0),E10)</f>
        <v>500</v>
      </c>
      <c r="F12" s="30">
        <f t="array" ref="F12">INDEX(Dados!$C$11:$N$42,MATCH($E$9,Dados!$B$11:$B$42,0),F10)</f>
        <v>500</v>
      </c>
      <c r="G12" s="30">
        <f t="array" ref="G12">INDEX(Dados!$C$11:$N$42,MATCH($E$9,Dados!$B$11:$B$42,0),G10)</f>
        <v>500</v>
      </c>
      <c r="H12" s="30">
        <f t="array" ref="H12">INDEX(Dados!$C$11:$N$42,MATCH($E$9,Dados!$B$11:$B$42,0),H10)</f>
        <v>500</v>
      </c>
      <c r="I12" s="30">
        <f t="array" ref="I12">INDEX(Dados!$C$11:$N$42,MATCH($E$9,Dados!$B$11:$B$42,0),I10)</f>
        <v>500</v>
      </c>
      <c r="J12" s="30">
        <f t="array" ref="J12">INDEX(Dados!$C$11:$N$42,MATCH($E$9,Dados!$B$11:$B$42,0),J10)</f>
        <v>500</v>
      </c>
      <c r="K12" s="30">
        <f t="array" ref="K12">INDEX(Dados!$C$11:$N$42,MATCH($E$9,Dados!$B$11:$B$42,0),K10)</f>
        <v>500</v>
      </c>
      <c r="L12" s="30">
        <f t="array" ref="L12">INDEX(Dados!$C$11:$N$42,MATCH($E$9,Dados!$B$11:$B$42,0),L10)</f>
        <v>500</v>
      </c>
      <c r="M12" s="30">
        <f t="array" ref="M12">INDEX(Dados!$C$11:$N$42,MATCH($E$9,Dados!$B$11:$B$42,0),M10)</f>
        <v>500</v>
      </c>
      <c r="N12" s="30">
        <f t="array" ref="N12">INDEX(Dados!$C$11:$N$42,MATCH($E$9,Dados!$B$11:$B$42,0),N10)</f>
        <v>500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/>
      <c r="B13" s="32" t="s">
        <v>38</v>
      </c>
      <c r="C13" s="33"/>
      <c r="D13" s="34">
        <f t="shared" ref="D13:N13" si="2">IFERROR((D12-C12)/C12,"-")</f>
        <v>-0.2857142857</v>
      </c>
      <c r="E13" s="34">
        <f t="shared" si="2"/>
        <v>0</v>
      </c>
      <c r="F13" s="34">
        <f t="shared" si="2"/>
        <v>0</v>
      </c>
      <c r="G13" s="34">
        <f t="shared" si="2"/>
        <v>0</v>
      </c>
      <c r="H13" s="34">
        <f t="shared" si="2"/>
        <v>0</v>
      </c>
      <c r="I13" s="34">
        <f t="shared" si="2"/>
        <v>0</v>
      </c>
      <c r="J13" s="34">
        <f t="shared" si="2"/>
        <v>0</v>
      </c>
      <c r="K13" s="34">
        <f t="shared" si="2"/>
        <v>0</v>
      </c>
      <c r="L13" s="34">
        <f t="shared" si="2"/>
        <v>0</v>
      </c>
      <c r="M13" s="34">
        <f t="shared" si="2"/>
        <v>0</v>
      </c>
      <c r="N13" s="34">
        <f t="shared" si="2"/>
        <v>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B5:C5"/>
    <mergeCell ref="E9:G9"/>
    <mergeCell ref="B13:C13"/>
  </mergeCells>
  <dataValidations>
    <dataValidation type="list" allowBlank="1" showErrorMessage="1" sqref="E9">
      <formula1>Dados!$B$11:$B$42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39"/>
      <c r="B1" s="40" t="s">
        <v>0</v>
      </c>
      <c r="C1" s="40" t="s">
        <v>1</v>
      </c>
      <c r="D1" s="40" t="s">
        <v>2</v>
      </c>
      <c r="E1" s="40" t="s">
        <v>3</v>
      </c>
      <c r="F1" s="40" t="s">
        <v>4</v>
      </c>
      <c r="G1" s="40" t="s">
        <v>5</v>
      </c>
      <c r="H1" s="40" t="s">
        <v>6</v>
      </c>
      <c r="I1" s="40" t="s">
        <v>7</v>
      </c>
      <c r="J1" s="40" t="s">
        <v>8</v>
      </c>
      <c r="K1" s="40" t="s">
        <v>9</v>
      </c>
      <c r="L1" s="40" t="s">
        <v>10</v>
      </c>
      <c r="M1" s="40" t="s">
        <v>11</v>
      </c>
      <c r="N1" s="41"/>
    </row>
    <row r="2">
      <c r="A2" s="7" t="s">
        <v>40</v>
      </c>
      <c r="B2" s="42">
        <v>250.0</v>
      </c>
      <c r="C2" s="42">
        <v>250.0</v>
      </c>
      <c r="D2" s="42">
        <v>250.0</v>
      </c>
      <c r="E2" s="9">
        <v>250.0</v>
      </c>
      <c r="F2" s="9">
        <v>250.0</v>
      </c>
      <c r="G2" s="9">
        <v>250.0</v>
      </c>
      <c r="H2" s="9">
        <v>250.0</v>
      </c>
      <c r="I2" s="9">
        <v>250.0</v>
      </c>
      <c r="J2" s="9">
        <v>250.0</v>
      </c>
      <c r="K2" s="9">
        <v>250.0</v>
      </c>
      <c r="L2" s="9">
        <v>250.0</v>
      </c>
      <c r="M2" s="9">
        <v>250.0</v>
      </c>
      <c r="N2" s="10">
        <f>SUM(B2:M2)</f>
        <v>3000</v>
      </c>
    </row>
    <row r="5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3.71"/>
    <col customWidth="1" min="3" max="3" width="13.43"/>
    <col customWidth="1" min="4" max="4" width="10.43"/>
    <col customWidth="1" min="5" max="5" width="15.0"/>
    <col customWidth="1" min="6" max="8" width="10.43"/>
    <col customWidth="1" min="9" max="9" width="11.57"/>
    <col customWidth="1" min="10" max="10" width="13.86"/>
    <col customWidth="1" min="11" max="13" width="10.43"/>
    <col customWidth="1" min="14" max="14" width="9.14"/>
    <col customWidth="1" min="15" max="15" width="13.29"/>
    <col customWidth="1" min="16" max="26" width="8.71"/>
  </cols>
  <sheetData>
    <row r="1" ht="12.75" customHeight="1">
      <c r="A1" s="45" t="s">
        <v>41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ht="12.75" customHeight="1">
      <c r="A2" s="47" t="s">
        <v>42</v>
      </c>
      <c r="B2" s="48">
        <f>TODAY()</f>
        <v>46219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ht="12.75" customHeight="1">
      <c r="A3" s="47" t="s">
        <v>43</v>
      </c>
      <c r="B3" s="46">
        <f>MONTH(B2)</f>
        <v>7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ht="12.75" customHeight="1">
      <c r="A4" s="49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ht="12.75" customHeight="1">
      <c r="A5" s="49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ht="12.75" customHeight="1">
      <c r="A6" s="45" t="s">
        <v>44</v>
      </c>
      <c r="B6" s="46"/>
      <c r="C6" s="46"/>
      <c r="D6" s="46"/>
      <c r="E6" s="45" t="s">
        <v>45</v>
      </c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ht="12.75" customHeight="1">
      <c r="A7" s="47" t="s">
        <v>46</v>
      </c>
      <c r="B7" s="46" t="s">
        <v>47</v>
      </c>
      <c r="C7" s="46"/>
      <c r="D7" s="46"/>
      <c r="E7" s="47" t="s">
        <v>46</v>
      </c>
      <c r="F7" s="49" t="s">
        <v>48</v>
      </c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ht="12.75" customHeight="1">
      <c r="A8" s="47" t="s">
        <v>49</v>
      </c>
      <c r="B8" s="50" t="str">
        <f>PROPER(TEXT(B2,"mmmm"))</f>
        <v>Julho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ht="12.75" customHeight="1">
      <c r="A9" s="51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2.75" customHeight="1">
      <c r="A10" s="51" t="s">
        <v>50</v>
      </c>
      <c r="B10" s="52">
        <f t="array" ref="B10">INDEX(Dados!C44:N44,1,B3)</f>
        <v>2641.85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2.75" customHeight="1">
      <c r="A11" s="51" t="s">
        <v>51</v>
      </c>
      <c r="B11" s="52">
        <f t="array" ref="B11">INDEX(Dados!C44:N44,1,B3-1)</f>
        <v>2383</v>
      </c>
      <c r="C11" s="46"/>
      <c r="D11" s="52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2.75" customHeight="1">
      <c r="A12" s="51" t="s">
        <v>52</v>
      </c>
      <c r="B12" s="53">
        <f>(B10-B11)/B11</f>
        <v>0.1086235837</v>
      </c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2.75" customHeight="1">
      <c r="A13" s="54" t="str">
        <f>IF(B12&gt;0,"↑ "&amp;TEXT(B12,"0,0%"),"")</f>
        <v>↑ 11%</v>
      </c>
      <c r="B13" s="55" t="str">
        <f>IF(B12&lt;0,"↓ "&amp;TEXT(B12,"0,0%"),"")</f>
        <v/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2.75" customHeight="1">
      <c r="A14" s="51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2.75" customHeight="1">
      <c r="A15" s="51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2.75" customHeight="1">
      <c r="A16" s="51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2.75" customHeight="1">
      <c r="A17" s="51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2.75" customHeight="1">
      <c r="A18" s="45" t="s">
        <v>53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2.75" customHeight="1">
      <c r="A19" s="47" t="s">
        <v>46</v>
      </c>
      <c r="B19" s="46" t="s">
        <v>54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2.75" customHeight="1">
      <c r="A20" s="47"/>
      <c r="B20" s="4" t="s">
        <v>0</v>
      </c>
      <c r="C20" s="4" t="s">
        <v>1</v>
      </c>
      <c r="D20" s="4" t="s">
        <v>2</v>
      </c>
      <c r="E20" s="4" t="s">
        <v>3</v>
      </c>
      <c r="F20" s="4" t="s">
        <v>4</v>
      </c>
      <c r="G20" s="4" t="s">
        <v>5</v>
      </c>
      <c r="H20" s="4" t="s">
        <v>6</v>
      </c>
      <c r="I20" s="4" t="s">
        <v>7</v>
      </c>
      <c r="J20" s="4" t="s">
        <v>8</v>
      </c>
      <c r="K20" s="4" t="s">
        <v>9</v>
      </c>
      <c r="L20" s="4" t="s">
        <v>10</v>
      </c>
      <c r="M20" s="4" t="s">
        <v>11</v>
      </c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12.75" customHeight="1">
      <c r="A21" s="47" t="s">
        <v>55</v>
      </c>
      <c r="B21" s="56">
        <f>IF(Dados!C44=LARGE(Dados!$C$39:$M$44,1),Dados!C44,0)</f>
        <v>0</v>
      </c>
      <c r="C21" s="56">
        <f>IF(Dados!D44=LARGE(Dados!$C$39:$M$44,1),Dados!D44,0)</f>
        <v>0</v>
      </c>
      <c r="D21" s="56">
        <f>IF(Dados!E44=LARGE(Dados!$C$39:$M$44,1),Dados!E44,0)</f>
        <v>0</v>
      </c>
      <c r="E21" s="56">
        <f>IF(Dados!F44=LARGE(Dados!$C$39:$M$44,1),Dados!F44,0)</f>
        <v>0</v>
      </c>
      <c r="F21" s="56">
        <f>IF(Dados!G44=LARGE(Dados!$C$39:$M$44,1),Dados!G44,0)</f>
        <v>0</v>
      </c>
      <c r="G21" s="56">
        <f>IF(Dados!H44=LARGE(Dados!$C$39:$M$44,1),Dados!H44,0)</f>
        <v>0</v>
      </c>
      <c r="H21" s="56">
        <f>IF(Dados!I44=LARGE(Dados!$C$39:$M$44,1),Dados!I44,0)</f>
        <v>2641.85</v>
      </c>
      <c r="I21" s="56">
        <f>IF(Dados!J44=LARGE(Dados!$C$39:$M$44,1),Dados!J44,0)</f>
        <v>0</v>
      </c>
      <c r="J21" s="56">
        <f>IF(Dados!K44=LARGE(Dados!$C$39:$M$44,1),Dados!K44,0)</f>
        <v>0</v>
      </c>
      <c r="K21" s="56">
        <f>IF(Dados!L44=LARGE(Dados!$C$39:$M$44,1),Dados!L44,0)</f>
        <v>0</v>
      </c>
      <c r="L21" s="56">
        <f>IF(Dados!M44=LARGE(Dados!$C$39:$M$44,1),Dados!M44,0)</f>
        <v>0</v>
      </c>
      <c r="M21" s="56">
        <f>IF(Dados!N44=LARGE(Dados!$C$39:$M$44,1),Dados!N44,0)</f>
        <v>0</v>
      </c>
      <c r="N21" s="46"/>
      <c r="O21" s="46" t="s">
        <v>56</v>
      </c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12.75" customHeight="1">
      <c r="A22" s="47" t="s">
        <v>57</v>
      </c>
      <c r="B22" s="56">
        <f>IF(Dados!C44=$O$22,Dados!C44,0)</f>
        <v>0</v>
      </c>
      <c r="C22" s="56">
        <f>IF(Dados!D44=$O$22,Dados!D44,0)</f>
        <v>0</v>
      </c>
      <c r="D22" s="56">
        <f>IF(Dados!E44=$O$22,Dados!E44,0)</f>
        <v>0</v>
      </c>
      <c r="E22" s="56">
        <f>IF(Dados!F44=$O$22,Dados!F44,0)</f>
        <v>0</v>
      </c>
      <c r="F22" s="56">
        <f>IF(Dados!G44=$O$22,Dados!G44,0)</f>
        <v>0</v>
      </c>
      <c r="G22" s="56">
        <f>IF(Dados!H44=$O$22,Dados!H44,0)</f>
        <v>0</v>
      </c>
      <c r="H22" s="56">
        <f>IF(Dados!I44=$O$22,Dados!I44,0)</f>
        <v>0</v>
      </c>
      <c r="I22" s="56">
        <f>IF(Dados!J44=$O$22,Dados!J44,0)</f>
        <v>0</v>
      </c>
      <c r="J22" s="56">
        <f>IF(Dados!K44=$O$22,Dados!K44,0)</f>
        <v>0</v>
      </c>
      <c r="K22" s="56">
        <f>IF(Dados!L44=$O$22,Dados!L44,0)</f>
        <v>0</v>
      </c>
      <c r="L22" s="56">
        <f>IF(Dados!M44=$O$22,Dados!M44,0)</f>
        <v>1193</v>
      </c>
      <c r="M22" s="56">
        <f>IF(Dados!N44=$O$22,Dados!N44,0)</f>
        <v>1193</v>
      </c>
      <c r="N22" s="46"/>
      <c r="O22" s="52">
        <f t="array" ref="O22">MIN(IF(Dados!C44:N44&gt;0,Dados!C44:N44))</f>
        <v>1193</v>
      </c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ht="12.75" customHeight="1">
      <c r="A23" s="49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t="12.75" customHeight="1">
      <c r="A24" s="49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ht="12.75" customHeight="1">
      <c r="A25" s="49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t="12.75" customHeight="1">
      <c r="A26" s="45" t="s">
        <v>58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t="12.75" customHeight="1">
      <c r="A27" s="47" t="s">
        <v>46</v>
      </c>
      <c r="B27" s="49" t="s">
        <v>59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t="12.75" customHeight="1">
      <c r="A28" s="47" t="s">
        <v>60</v>
      </c>
      <c r="B28" s="46" t="str">
        <f t="array" ref="B28">INDEX(Dados!B11:B42,MATCH(LARGE(Dados!O11:O42,1),Dados!O11:O42,0),1)</f>
        <v>Aluguel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ht="12.75" customHeight="1">
      <c r="A29" s="47" t="s">
        <v>61</v>
      </c>
      <c r="B29" s="52">
        <f>LARGE(Dados!O11:O42,1)</f>
        <v>6200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ht="12.75" customHeight="1">
      <c r="A30" s="47" t="s">
        <v>62</v>
      </c>
      <c r="B30" s="53">
        <f>IFERROR(B29/Dados!$O$44,"-")</f>
        <v>0.2702140836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t="12.75" customHeight="1">
      <c r="A31" s="47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12.75" customHeight="1">
      <c r="A32" s="47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2.75" customHeight="1">
      <c r="A33" s="47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2.75" customHeight="1">
      <c r="A34" s="47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2.75" customHeight="1">
      <c r="A35" s="45" t="s">
        <v>63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2.75" customHeight="1">
      <c r="A36" s="47" t="s">
        <v>64</v>
      </c>
      <c r="B36" s="49" t="s">
        <v>54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2.75" customHeight="1">
      <c r="A37" s="47" t="s">
        <v>65</v>
      </c>
      <c r="B37" s="49" t="s">
        <v>66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2.75" customHeight="1">
      <c r="A38" s="47" t="s">
        <v>67</v>
      </c>
      <c r="B38" s="49" t="s">
        <v>68</v>
      </c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12.75" customHeight="1">
      <c r="A39" s="49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t="12.75" customHeight="1">
      <c r="A40" s="49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ht="12.75" customHeight="1">
      <c r="A41" s="49"/>
      <c r="B41" s="46" t="s">
        <v>69</v>
      </c>
      <c r="C41" s="46" t="s">
        <v>61</v>
      </c>
      <c r="D41" s="46" t="s">
        <v>70</v>
      </c>
      <c r="E41" s="46" t="s">
        <v>71</v>
      </c>
      <c r="F41" s="46"/>
      <c r="G41" s="46"/>
      <c r="H41" s="57" t="s">
        <v>72</v>
      </c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ht="12.75" customHeight="1">
      <c r="A42" s="49"/>
      <c r="B42" s="46" t="str">
        <f>Dados!B11</f>
        <v>Aluguel</v>
      </c>
      <c r="C42" s="52">
        <f>Dados!O11</f>
        <v>6200</v>
      </c>
      <c r="D42" s="46">
        <f t="shared" ref="D42:D71" si="1">IF(C42=0,0,COUNTIF($C$42:$C$71,C42))</f>
        <v>1</v>
      </c>
      <c r="E42" s="52">
        <f t="shared" ref="E42:E71" si="2">IF(D42&gt;1,C42+ROW()/1000,C42)</f>
        <v>6200</v>
      </c>
      <c r="F42" s="46"/>
      <c r="G42" s="46"/>
      <c r="H42" s="46">
        <v>1.0</v>
      </c>
      <c r="I42" s="58">
        <f t="shared" ref="I42:I44" si="3">LARGE($E$42:$E$71,H42)</f>
        <v>6200</v>
      </c>
      <c r="J42" s="46" t="str">
        <f t="shared" ref="J42:J44" si="4">IF(I42=0,"-",INDEX($B$42:$B$71,MATCH(I42,$E$42:$E$71,0),1))</f>
        <v>Aluguel</v>
      </c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ht="12.75" customHeight="1">
      <c r="A43" s="49"/>
      <c r="B43" s="46" t="str">
        <f>Dados!B12</f>
        <v>Luz</v>
      </c>
      <c r="C43" s="52">
        <f>Dados!O12</f>
        <v>1546.77</v>
      </c>
      <c r="D43" s="46">
        <f t="shared" si="1"/>
        <v>1</v>
      </c>
      <c r="E43" s="52">
        <f t="shared" si="2"/>
        <v>1546.77</v>
      </c>
      <c r="F43" s="46"/>
      <c r="G43" s="46"/>
      <c r="H43" s="46">
        <v>2.0</v>
      </c>
      <c r="I43" s="58">
        <f t="shared" si="3"/>
        <v>3120</v>
      </c>
      <c r="J43" s="46" t="str">
        <f t="shared" si="4"/>
        <v>Viagem</v>
      </c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ht="12.75" customHeight="1">
      <c r="A44" s="49"/>
      <c r="B44" s="46" t="str">
        <f>Dados!B14</f>
        <v>Internet</v>
      </c>
      <c r="C44" s="52">
        <f>Dados!O14</f>
        <v>1223</v>
      </c>
      <c r="D44" s="46">
        <f t="shared" si="1"/>
        <v>1</v>
      </c>
      <c r="E44" s="52">
        <f t="shared" si="2"/>
        <v>1223</v>
      </c>
      <c r="F44" s="46"/>
      <c r="G44" s="46"/>
      <c r="H44" s="46">
        <v>3.0</v>
      </c>
      <c r="I44" s="58">
        <f t="shared" si="3"/>
        <v>2180</v>
      </c>
      <c r="J44" s="46" t="str">
        <f t="shared" si="4"/>
        <v>Cartão de Credito Nubank</v>
      </c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ht="12.75" customHeight="1">
      <c r="A45" s="49"/>
      <c r="B45" s="46" t="str">
        <f>Dados!B15</f>
        <v>Acordo Inter</v>
      </c>
      <c r="C45" s="52">
        <f>Dados!O15</f>
        <v>636</v>
      </c>
      <c r="D45" s="46">
        <f t="shared" si="1"/>
        <v>1</v>
      </c>
      <c r="E45" s="52">
        <f t="shared" si="2"/>
        <v>636</v>
      </c>
      <c r="F45" s="46"/>
      <c r="G45" s="46"/>
      <c r="H45" s="46"/>
      <c r="I45" s="52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ht="12.75" customHeight="1">
      <c r="A46" s="49"/>
      <c r="B46" s="46" t="str">
        <f>Dados!B16</f>
        <v>Viagem</v>
      </c>
      <c r="C46" s="52">
        <f>Dados!O16</f>
        <v>3120</v>
      </c>
      <c r="D46" s="46">
        <f t="shared" si="1"/>
        <v>1</v>
      </c>
      <c r="E46" s="52">
        <f t="shared" si="2"/>
        <v>3120</v>
      </c>
      <c r="F46" s="46"/>
      <c r="G46" s="46"/>
      <c r="H46" s="46"/>
      <c r="I46" s="52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ht="12.75" customHeight="1">
      <c r="A47" s="49"/>
      <c r="B47" s="46" t="str">
        <f>Dados!B17</f>
        <v>Spotify</v>
      </c>
      <c r="C47" s="52">
        <f>Dados!O17</f>
        <v>396</v>
      </c>
      <c r="D47" s="46">
        <f t="shared" si="1"/>
        <v>1</v>
      </c>
      <c r="E47" s="52">
        <f t="shared" si="2"/>
        <v>396</v>
      </c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ht="12.75" customHeight="1">
      <c r="A48" s="49"/>
      <c r="B48" s="46" t="str">
        <f>Dados!B18</f>
        <v>Google One </v>
      </c>
      <c r="C48" s="52">
        <f>Dados!O18</f>
        <v>120</v>
      </c>
      <c r="D48" s="46">
        <f t="shared" si="1"/>
        <v>1</v>
      </c>
      <c r="E48" s="52">
        <f t="shared" si="2"/>
        <v>120</v>
      </c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ht="12.75" customHeight="1">
      <c r="A49" s="49"/>
      <c r="B49" s="46" t="str">
        <f>Dados!B19</f>
        <v>Meli+</v>
      </c>
      <c r="C49" s="52">
        <f>Dados!O19</f>
        <v>180</v>
      </c>
      <c r="D49" s="46">
        <f t="shared" si="1"/>
        <v>1</v>
      </c>
      <c r="E49" s="52">
        <f t="shared" si="2"/>
        <v>180</v>
      </c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ht="12.75" customHeight="1">
      <c r="A50" s="49"/>
      <c r="B50" s="46" t="str">
        <f>Dados!B20</f>
        <v>YouTube Premium</v>
      </c>
      <c r="C50" s="52">
        <f>Dados!O20</f>
        <v>324</v>
      </c>
      <c r="D50" s="46">
        <f t="shared" si="1"/>
        <v>2</v>
      </c>
      <c r="E50" s="52">
        <f t="shared" si="2"/>
        <v>324.05</v>
      </c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ht="12.75" customHeight="1">
      <c r="A51" s="49"/>
      <c r="B51" s="46" t="str">
        <f>Dados!B22</f>
        <v/>
      </c>
      <c r="C51" s="52">
        <f>Dados!O22</f>
        <v>0</v>
      </c>
      <c r="D51" s="46">
        <f t="shared" si="1"/>
        <v>0</v>
      </c>
      <c r="E51" s="52">
        <f t="shared" si="2"/>
        <v>0</v>
      </c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t="12.75" customHeight="1">
      <c r="A52" s="49"/>
      <c r="B52" s="46" t="str">
        <f>Dados!B23</f>
        <v/>
      </c>
      <c r="C52" s="52">
        <f>Dados!O23</f>
        <v>0</v>
      </c>
      <c r="D52" s="46">
        <f t="shared" si="1"/>
        <v>0</v>
      </c>
      <c r="E52" s="52">
        <f t="shared" si="2"/>
        <v>0</v>
      </c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t="12.75" customHeight="1">
      <c r="A53" s="49"/>
      <c r="B53" s="46" t="str">
        <f>Dados!B24</f>
        <v/>
      </c>
      <c r="C53" s="52">
        <f>Dados!O24</f>
        <v>0</v>
      </c>
      <c r="D53" s="46">
        <f t="shared" si="1"/>
        <v>0</v>
      </c>
      <c r="E53" s="52">
        <f t="shared" si="2"/>
        <v>0</v>
      </c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12.75" customHeight="1">
      <c r="A54" s="49"/>
      <c r="B54" s="46" t="str">
        <f>Dados!B25</f>
        <v/>
      </c>
      <c r="C54" s="52">
        <f>Dados!O25</f>
        <v>0</v>
      </c>
      <c r="D54" s="46">
        <f t="shared" si="1"/>
        <v>0</v>
      </c>
      <c r="E54" s="52">
        <f t="shared" si="2"/>
        <v>0</v>
      </c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12.75" customHeight="1">
      <c r="A55" s="49"/>
      <c r="B55" s="46" t="str">
        <f>Dados!B26</f>
        <v/>
      </c>
      <c r="C55" s="52">
        <f>Dados!O26</f>
        <v>0</v>
      </c>
      <c r="D55" s="46">
        <f t="shared" si="1"/>
        <v>0</v>
      </c>
      <c r="E55" s="52">
        <f t="shared" si="2"/>
        <v>0</v>
      </c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12.75" customHeight="1">
      <c r="A56" s="49"/>
      <c r="B56" s="46" t="str">
        <f>Dados!B27</f>
        <v/>
      </c>
      <c r="C56" s="52">
        <f>Dados!O27</f>
        <v>0</v>
      </c>
      <c r="D56" s="46">
        <f t="shared" si="1"/>
        <v>0</v>
      </c>
      <c r="E56" s="52">
        <f t="shared" si="2"/>
        <v>0</v>
      </c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12.75" customHeight="1">
      <c r="A57" s="49"/>
      <c r="B57" s="46" t="str">
        <f>Dados!B28</f>
        <v/>
      </c>
      <c r="C57" s="52">
        <f>Dados!O28</f>
        <v>0</v>
      </c>
      <c r="D57" s="46">
        <f t="shared" si="1"/>
        <v>0</v>
      </c>
      <c r="E57" s="52">
        <f t="shared" si="2"/>
        <v>0</v>
      </c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12.75" customHeight="1">
      <c r="A58" s="49"/>
      <c r="B58" s="46" t="str">
        <f>Dados!B29</f>
        <v/>
      </c>
      <c r="C58" s="52">
        <f>Dados!O29</f>
        <v>0</v>
      </c>
      <c r="D58" s="46">
        <f t="shared" si="1"/>
        <v>0</v>
      </c>
      <c r="E58" s="52">
        <f t="shared" si="2"/>
        <v>0</v>
      </c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12.75" customHeight="1">
      <c r="A59" s="49"/>
      <c r="B59" s="46" t="str">
        <f>Dados!B30</f>
        <v>YouTube Premium</v>
      </c>
      <c r="C59" s="52">
        <f>Dados!O30</f>
        <v>324</v>
      </c>
      <c r="D59" s="46">
        <f t="shared" si="1"/>
        <v>2</v>
      </c>
      <c r="E59" s="52">
        <f t="shared" si="2"/>
        <v>324.059</v>
      </c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2.75" customHeight="1">
      <c r="A60" s="49"/>
      <c r="B60" s="46" t="str">
        <f>Dados!B31</f>
        <v>Acordo Nubank</v>
      </c>
      <c r="C60" s="52">
        <f>Dados!O31</f>
        <v>637</v>
      </c>
      <c r="D60" s="46">
        <f t="shared" si="1"/>
        <v>1</v>
      </c>
      <c r="E60" s="52">
        <f t="shared" si="2"/>
        <v>637</v>
      </c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2.75" customHeight="1">
      <c r="A61" s="49"/>
      <c r="B61" s="46" t="str">
        <f>Dados!B32</f>
        <v>Renata boticario </v>
      </c>
      <c r="C61" s="52">
        <f>Dados!O32</f>
        <v>648</v>
      </c>
      <c r="D61" s="46">
        <f t="shared" si="1"/>
        <v>1</v>
      </c>
      <c r="E61" s="52">
        <f t="shared" si="2"/>
        <v>648</v>
      </c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2.75" customHeight="1">
      <c r="A62" s="49"/>
      <c r="B62" s="46" t="str">
        <f>Dados!B33</f>
        <v>Emprestimo Bradesco</v>
      </c>
      <c r="C62" s="52">
        <f>Dados!O33</f>
        <v>1074</v>
      </c>
      <c r="D62" s="46">
        <f t="shared" si="1"/>
        <v>1</v>
      </c>
      <c r="E62" s="52">
        <f t="shared" si="2"/>
        <v>1074</v>
      </c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2.75" customHeight="1">
      <c r="A63" s="49"/>
      <c r="B63" s="46" t="str">
        <f>Dados!B34</f>
        <v>Renata boticario </v>
      </c>
      <c r="C63" s="52">
        <f>Dados!O34</f>
        <v>748</v>
      </c>
      <c r="D63" s="46">
        <f t="shared" si="1"/>
        <v>1</v>
      </c>
      <c r="E63" s="52">
        <f t="shared" si="2"/>
        <v>748</v>
      </c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t="12.75" customHeight="1">
      <c r="A64" s="49"/>
      <c r="B64" s="46" t="str">
        <f>Dados!B35</f>
        <v>Cartão de Credito Nubank</v>
      </c>
      <c r="C64" s="52">
        <f>Dados!O35</f>
        <v>2180</v>
      </c>
      <c r="D64" s="46">
        <f t="shared" si="1"/>
        <v>1</v>
      </c>
      <c r="E64" s="52">
        <f t="shared" si="2"/>
        <v>2180</v>
      </c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12.75" customHeight="1">
      <c r="A65" s="49"/>
      <c r="B65" s="46" t="str">
        <f>Dados!B36</f>
        <v>Bahia </v>
      </c>
      <c r="C65" s="52">
        <f>Dados!O36</f>
        <v>716</v>
      </c>
      <c r="D65" s="46">
        <f t="shared" si="1"/>
        <v>1</v>
      </c>
      <c r="E65" s="52">
        <f t="shared" si="2"/>
        <v>716</v>
      </c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2.75" customHeight="1">
      <c r="A66" s="49"/>
      <c r="B66" s="46" t="str">
        <f>Dados!B37</f>
        <v>Lucas Cartão de Credito</v>
      </c>
      <c r="C66" s="52">
        <f>Dados!O37</f>
        <v>288</v>
      </c>
      <c r="D66" s="46">
        <f t="shared" si="1"/>
        <v>1</v>
      </c>
      <c r="E66" s="52">
        <f t="shared" si="2"/>
        <v>288</v>
      </c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2.75" customHeight="1">
      <c r="A67" s="49"/>
      <c r="B67" s="46" t="str">
        <f>Dados!B38</f>
        <v>Emprestimo Bradesco</v>
      </c>
      <c r="C67" s="52">
        <f>Dados!O38</f>
        <v>140</v>
      </c>
      <c r="D67" s="46">
        <f t="shared" si="1"/>
        <v>1</v>
      </c>
      <c r="E67" s="52">
        <f t="shared" si="2"/>
        <v>140</v>
      </c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2.75" customHeight="1">
      <c r="A68" s="49"/>
      <c r="B68" s="46" t="str">
        <f>Dados!B39</f>
        <v>Vivo</v>
      </c>
      <c r="C68" s="52">
        <f>Dados!O39</f>
        <v>92</v>
      </c>
      <c r="D68" s="46">
        <f t="shared" si="1"/>
        <v>1</v>
      </c>
      <c r="E68" s="52">
        <f t="shared" si="2"/>
        <v>92</v>
      </c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2.75" customHeight="1">
      <c r="A69" s="49"/>
      <c r="B69" s="46" t="str">
        <f>Dados!B40</f>
        <v>Mayara</v>
      </c>
      <c r="C69" s="52">
        <f>Dados!O40</f>
        <v>452</v>
      </c>
      <c r="D69" s="46">
        <f t="shared" si="1"/>
        <v>1</v>
      </c>
      <c r="E69" s="52">
        <f t="shared" si="2"/>
        <v>452</v>
      </c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t="12.75" customHeight="1">
      <c r="A70" s="49"/>
      <c r="B70" s="46" t="str">
        <f>Dados!B41</f>
        <v>Emprestimo</v>
      </c>
      <c r="C70" s="52">
        <f>Dados!O41</f>
        <v>1278</v>
      </c>
      <c r="D70" s="46">
        <f t="shared" si="1"/>
        <v>1</v>
      </c>
      <c r="E70" s="52">
        <f t="shared" si="2"/>
        <v>1278</v>
      </c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t="12.75" customHeight="1">
      <c r="A71" s="49"/>
      <c r="B71" s="46" t="str">
        <f>Dados!B42</f>
        <v>Caio - Fone</v>
      </c>
      <c r="C71" s="52">
        <f>Dados!O42</f>
        <v>422</v>
      </c>
      <c r="D71" s="46">
        <f t="shared" si="1"/>
        <v>1</v>
      </c>
      <c r="E71" s="52">
        <f t="shared" si="2"/>
        <v>422</v>
      </c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ht="12.75" customHeight="1">
      <c r="A72" s="49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t="12.75" customHeight="1">
      <c r="A73" s="49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12.75" customHeight="1">
      <c r="A74" s="49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12.75" customHeight="1">
      <c r="A75" s="49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2.75" customHeight="1">
      <c r="A76" s="47" t="s">
        <v>73</v>
      </c>
      <c r="B76" s="49" t="s">
        <v>74</v>
      </c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12.75" customHeight="1">
      <c r="A77" s="49" t="s">
        <v>61</v>
      </c>
      <c r="B77" s="59">
        <f t="array" ref="B77">AVERAGE(IF(Dados!C44:N44&gt;0,Dados!C44:N44))</f>
        <v>2012.676667</v>
      </c>
      <c r="C77" s="59">
        <f t="shared" ref="C77:M77" si="5">$B$77</f>
        <v>2012.676667</v>
      </c>
      <c r="D77" s="59">
        <f t="shared" si="5"/>
        <v>2012.676667</v>
      </c>
      <c r="E77" s="59">
        <f t="shared" si="5"/>
        <v>2012.676667</v>
      </c>
      <c r="F77" s="59">
        <f t="shared" si="5"/>
        <v>2012.676667</v>
      </c>
      <c r="G77" s="59">
        <f t="shared" si="5"/>
        <v>2012.676667</v>
      </c>
      <c r="H77" s="59">
        <f t="shared" si="5"/>
        <v>2012.676667</v>
      </c>
      <c r="I77" s="59">
        <f t="shared" si="5"/>
        <v>2012.676667</v>
      </c>
      <c r="J77" s="59">
        <f t="shared" si="5"/>
        <v>2012.676667</v>
      </c>
      <c r="K77" s="59">
        <f t="shared" si="5"/>
        <v>2012.676667</v>
      </c>
      <c r="L77" s="59">
        <f t="shared" si="5"/>
        <v>2012.676667</v>
      </c>
      <c r="M77" s="59">
        <f t="shared" si="5"/>
        <v>2012.676667</v>
      </c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2.75" customHeight="1">
      <c r="A78" s="49"/>
      <c r="B78" s="4" t="s">
        <v>0</v>
      </c>
      <c r="C78" s="4" t="s">
        <v>1</v>
      </c>
      <c r="D78" s="4" t="s">
        <v>2</v>
      </c>
      <c r="E78" s="4" t="s">
        <v>3</v>
      </c>
      <c r="F78" s="4" t="s">
        <v>4</v>
      </c>
      <c r="G78" s="4" t="s">
        <v>5</v>
      </c>
      <c r="H78" s="4" t="s">
        <v>6</v>
      </c>
      <c r="I78" s="4" t="s">
        <v>7</v>
      </c>
      <c r="J78" s="4" t="s">
        <v>8</v>
      </c>
      <c r="K78" s="4" t="s">
        <v>9</v>
      </c>
      <c r="L78" s="4" t="s">
        <v>10</v>
      </c>
      <c r="M78" s="4" t="s">
        <v>11</v>
      </c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2.75" customHeight="1">
      <c r="A79" s="49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2.75" customHeight="1">
      <c r="A80" s="49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2.75" customHeight="1">
      <c r="A81" s="49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2.75" customHeight="1">
      <c r="A82" s="49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2.75" customHeight="1">
      <c r="A83" s="49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2.75" customHeight="1">
      <c r="A84" s="49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2.75" customHeight="1">
      <c r="A85" s="49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2.75" customHeight="1">
      <c r="A86" s="49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2.75" customHeight="1">
      <c r="A87" s="49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2.75" customHeight="1">
      <c r="A88" s="49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2.75" customHeight="1">
      <c r="A89" s="49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2.75" customHeight="1">
      <c r="A90" s="49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2.75" customHeight="1">
      <c r="A91" s="49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2.75" customHeight="1">
      <c r="A92" s="49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2.75" customHeight="1">
      <c r="A93" s="49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2.75" customHeight="1">
      <c r="A94" s="49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2.75" customHeight="1">
      <c r="A95" s="49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2.75" customHeight="1">
      <c r="A96" s="49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2.75" customHeight="1">
      <c r="A97" s="49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2.75" customHeight="1">
      <c r="A98" s="49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2.75" customHeight="1">
      <c r="A99" s="49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2.75" customHeight="1">
      <c r="A100" s="49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2.75" customHeight="1">
      <c r="A101" s="49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2.75" customHeight="1">
      <c r="A102" s="49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2.75" customHeight="1">
      <c r="A103" s="49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2.75" customHeight="1">
      <c r="A104" s="49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2.75" customHeight="1">
      <c r="A105" s="49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2.75" customHeight="1">
      <c r="A106" s="49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2.75" customHeight="1">
      <c r="A107" s="49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2.75" customHeight="1">
      <c r="A108" s="49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2.75" customHeight="1">
      <c r="A109" s="49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2.75" customHeight="1">
      <c r="A110" s="49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2.75" customHeight="1">
      <c r="A111" s="49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2.75" customHeight="1">
      <c r="A112" s="49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2.75" customHeight="1">
      <c r="A113" s="49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2.75" customHeight="1">
      <c r="A114" s="49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2.75" customHeight="1">
      <c r="A115" s="49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2.75" customHeight="1">
      <c r="A116" s="49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2.75" customHeight="1">
      <c r="A117" s="49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2.75" customHeight="1">
      <c r="A118" s="49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2.75" customHeight="1">
      <c r="A119" s="49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2.75" customHeight="1">
      <c r="A120" s="49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2.75" customHeight="1">
      <c r="A121" s="49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2.75" customHeight="1">
      <c r="A122" s="49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2.75" customHeight="1">
      <c r="A123" s="49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2.75" customHeight="1">
      <c r="A124" s="49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2.75" customHeight="1">
      <c r="A125" s="49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2.75" customHeight="1">
      <c r="A126" s="49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2.75" customHeight="1">
      <c r="A127" s="49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2.75" customHeight="1">
      <c r="A128" s="49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2.75" customHeight="1">
      <c r="A129" s="49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2.75" customHeight="1">
      <c r="A130" s="49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2.75" customHeight="1">
      <c r="A131" s="49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2.75" customHeight="1">
      <c r="A132" s="49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2.75" customHeight="1">
      <c r="A133" s="49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2.75" customHeight="1">
      <c r="A134" s="49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2.75" customHeight="1">
      <c r="A135" s="49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2.75" customHeight="1">
      <c r="A136" s="49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2.75" customHeight="1">
      <c r="A137" s="49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2.75" customHeight="1">
      <c r="A138" s="49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2.75" customHeight="1">
      <c r="A139" s="49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2.75" customHeight="1">
      <c r="A140" s="49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2.75" customHeight="1">
      <c r="A141" s="49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2.75" customHeight="1">
      <c r="A142" s="49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2.75" customHeight="1">
      <c r="A143" s="49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2.75" customHeight="1">
      <c r="A144" s="49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2.75" customHeight="1">
      <c r="A145" s="49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2.75" customHeight="1">
      <c r="A146" s="49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2.75" customHeight="1">
      <c r="A147" s="49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2.75" customHeight="1">
      <c r="A148" s="49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2.75" customHeight="1">
      <c r="A149" s="49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2.75" customHeight="1">
      <c r="A150" s="49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2.75" customHeight="1">
      <c r="A151" s="49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2.75" customHeight="1">
      <c r="A152" s="49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2.75" customHeight="1">
      <c r="A153" s="49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2.75" customHeight="1">
      <c r="A154" s="49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2.75" customHeight="1">
      <c r="A155" s="49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2.75" customHeight="1">
      <c r="A156" s="49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2.75" customHeight="1">
      <c r="A157" s="49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2.75" customHeight="1">
      <c r="A158" s="49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2.75" customHeight="1">
      <c r="A159" s="49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2.75" customHeight="1">
      <c r="A160" s="49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2.75" customHeight="1">
      <c r="A161" s="49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2.75" customHeight="1">
      <c r="A162" s="49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2.75" customHeight="1">
      <c r="A163" s="49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2.75" customHeight="1">
      <c r="A164" s="49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2.75" customHeight="1">
      <c r="A165" s="49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2.75" customHeight="1">
      <c r="A166" s="49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2.75" customHeight="1">
      <c r="A167" s="49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2.75" customHeight="1">
      <c r="A168" s="49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2.75" customHeight="1">
      <c r="A169" s="49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2.75" customHeight="1">
      <c r="A170" s="49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2.75" customHeight="1">
      <c r="A171" s="49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2.75" customHeight="1">
      <c r="A172" s="49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2.75" customHeight="1">
      <c r="A173" s="49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2.75" customHeight="1">
      <c r="A174" s="49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2.75" customHeight="1">
      <c r="A175" s="49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2.75" customHeight="1">
      <c r="A176" s="49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2.75" customHeight="1">
      <c r="A177" s="49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2.75" customHeight="1">
      <c r="A178" s="49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2.75" customHeight="1">
      <c r="A179" s="49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2.75" customHeight="1">
      <c r="A180" s="49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2.75" customHeight="1">
      <c r="A181" s="49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2.75" customHeight="1">
      <c r="A182" s="49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2.75" customHeight="1">
      <c r="A183" s="49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2.75" customHeight="1">
      <c r="A184" s="49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2.75" customHeight="1">
      <c r="A185" s="49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2.75" customHeight="1">
      <c r="A186" s="49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2.75" customHeight="1">
      <c r="A187" s="49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2.75" customHeight="1">
      <c r="A188" s="49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2.75" customHeight="1">
      <c r="A189" s="49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2.75" customHeight="1">
      <c r="A190" s="49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2.75" customHeight="1">
      <c r="A191" s="49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2.75" customHeight="1">
      <c r="A192" s="49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2.75" customHeight="1">
      <c r="A193" s="49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2.75" customHeight="1">
      <c r="A194" s="49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2.75" customHeight="1">
      <c r="A195" s="49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2.75" customHeight="1">
      <c r="A196" s="49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2.75" customHeight="1">
      <c r="A197" s="49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2.75" customHeight="1">
      <c r="A198" s="49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2.75" customHeight="1">
      <c r="A199" s="49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2.75" customHeight="1">
      <c r="A200" s="49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2.75" customHeight="1">
      <c r="A201" s="49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2.75" customHeight="1">
      <c r="A202" s="49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2.75" customHeight="1">
      <c r="A203" s="49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2.75" customHeight="1">
      <c r="A204" s="49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2.75" customHeight="1">
      <c r="A205" s="49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2.75" customHeight="1">
      <c r="A206" s="49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2.75" customHeight="1">
      <c r="A207" s="49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2.75" customHeight="1">
      <c r="A208" s="49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2.75" customHeight="1">
      <c r="A209" s="49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2.75" customHeight="1">
      <c r="A210" s="49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2.75" customHeight="1">
      <c r="A211" s="49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2.75" customHeight="1">
      <c r="A212" s="49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2.75" customHeight="1">
      <c r="A213" s="49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2.75" customHeight="1">
      <c r="A214" s="49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2.75" customHeight="1">
      <c r="A215" s="49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2.75" customHeight="1">
      <c r="A216" s="49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2.75" customHeight="1">
      <c r="A217" s="49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2.75" customHeight="1">
      <c r="A218" s="49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2.75" customHeight="1">
      <c r="A219" s="49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2.75" customHeight="1">
      <c r="A220" s="49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2.75" customHeight="1">
      <c r="A221" s="49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2.75" customHeight="1">
      <c r="A222" s="49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2.75" customHeight="1">
      <c r="A223" s="49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2.75" customHeight="1">
      <c r="A224" s="49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2.75" customHeight="1">
      <c r="A225" s="49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2.75" customHeight="1">
      <c r="A226" s="49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2.75" customHeight="1">
      <c r="A227" s="49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2.75" customHeight="1">
      <c r="A228" s="49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2.75" customHeight="1">
      <c r="A229" s="49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2.75" customHeight="1">
      <c r="A230" s="49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2.75" customHeight="1">
      <c r="A231" s="49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2.75" customHeight="1">
      <c r="A232" s="49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2.75" customHeight="1">
      <c r="A233" s="49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2.75" customHeight="1">
      <c r="A234" s="49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2.75" customHeight="1">
      <c r="A235" s="49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2.75" customHeight="1">
      <c r="A236" s="49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2.75" customHeight="1">
      <c r="A237" s="49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2.75" customHeight="1">
      <c r="A238" s="49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2.75" customHeight="1">
      <c r="A239" s="49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2.75" customHeight="1">
      <c r="A240" s="49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2.75" customHeight="1">
      <c r="A241" s="49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2.75" customHeight="1">
      <c r="A242" s="49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2.75" customHeight="1">
      <c r="A243" s="49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2.75" customHeight="1">
      <c r="A244" s="49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2.75" customHeight="1">
      <c r="A245" s="49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2.75" customHeight="1">
      <c r="A246" s="49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2.75" customHeight="1">
      <c r="A247" s="49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2.75" customHeight="1">
      <c r="A248" s="49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2.75" customHeight="1">
      <c r="A249" s="49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2.75" customHeight="1">
      <c r="A250" s="49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2.75" customHeight="1">
      <c r="A251" s="49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2.75" customHeight="1">
      <c r="A252" s="49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2.75" customHeight="1">
      <c r="A253" s="49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2.75" customHeight="1">
      <c r="A254" s="49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2.75" customHeight="1">
      <c r="A255" s="49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2.75" customHeight="1">
      <c r="A256" s="49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2.75" customHeight="1">
      <c r="A257" s="49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2.75" customHeight="1">
      <c r="A258" s="49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2.75" customHeight="1">
      <c r="A259" s="49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2.75" customHeight="1">
      <c r="A260" s="49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2.75" customHeight="1">
      <c r="A261" s="49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2.75" customHeight="1">
      <c r="A262" s="49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2.75" customHeight="1">
      <c r="A263" s="49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2.75" customHeight="1">
      <c r="A264" s="49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2.75" customHeight="1">
      <c r="A265" s="49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2.75" customHeight="1">
      <c r="A266" s="49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2.75" customHeight="1">
      <c r="A267" s="49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2.75" customHeight="1">
      <c r="A268" s="49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2.75" customHeight="1">
      <c r="A269" s="49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2.75" customHeight="1">
      <c r="A270" s="49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2.75" customHeight="1">
      <c r="A271" s="49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2.75" customHeight="1">
      <c r="A272" s="49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2.75" customHeight="1">
      <c r="A273" s="49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2.75" customHeight="1">
      <c r="A274" s="49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2.75" customHeight="1">
      <c r="A275" s="49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2.75" customHeight="1">
      <c r="A276" s="49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2.75" customHeight="1">
      <c r="A277" s="49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2.75" customHeight="1">
      <c r="A278" s="49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2.75" customHeight="1">
      <c r="A279" s="49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2.75" customHeight="1">
      <c r="A280" s="49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2.75" customHeight="1">
      <c r="A281" s="49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2.75" customHeight="1">
      <c r="A282" s="49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2.75" customHeight="1">
      <c r="A283" s="49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2.75" customHeight="1">
      <c r="A284" s="49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2.75" customHeight="1">
      <c r="A285" s="49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2.75" customHeight="1">
      <c r="A286" s="49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2.75" customHeight="1">
      <c r="A287" s="49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2.75" customHeight="1">
      <c r="A288" s="49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2.75" customHeight="1">
      <c r="A289" s="49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2.75" customHeight="1">
      <c r="A290" s="49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2.75" customHeight="1">
      <c r="A291" s="49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2.75" customHeight="1">
      <c r="A292" s="49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2.75" customHeight="1">
      <c r="A293" s="49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2.75" customHeight="1">
      <c r="A294" s="49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2.75" customHeight="1">
      <c r="A295" s="49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2.75" customHeight="1">
      <c r="A296" s="49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2.75" customHeight="1">
      <c r="A297" s="49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2.75" customHeight="1">
      <c r="A298" s="49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2.75" customHeight="1">
      <c r="A299" s="49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2.75" customHeight="1">
      <c r="A300" s="49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2.75" customHeight="1">
      <c r="A301" s="49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2.75" customHeight="1">
      <c r="A302" s="49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2.75" customHeight="1">
      <c r="A303" s="49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2.75" customHeight="1">
      <c r="A304" s="49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2.75" customHeight="1">
      <c r="A305" s="49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2.75" customHeight="1">
      <c r="A306" s="49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2.75" customHeight="1">
      <c r="A307" s="49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2.75" customHeight="1">
      <c r="A308" s="49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2.75" customHeight="1">
      <c r="A309" s="49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2.75" customHeight="1">
      <c r="A310" s="49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2.75" customHeight="1">
      <c r="A311" s="49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2.75" customHeight="1">
      <c r="A312" s="49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2.75" customHeight="1">
      <c r="A313" s="49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2.75" customHeight="1">
      <c r="A314" s="49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2.75" customHeight="1">
      <c r="A315" s="49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2.75" customHeight="1">
      <c r="A316" s="49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2.75" customHeight="1">
      <c r="A317" s="49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2.75" customHeight="1">
      <c r="A318" s="49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2.75" customHeight="1">
      <c r="A319" s="49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2.75" customHeight="1">
      <c r="A320" s="49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2.75" customHeight="1">
      <c r="A321" s="49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2.75" customHeight="1">
      <c r="A322" s="49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2.75" customHeight="1">
      <c r="A323" s="49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2.75" customHeight="1">
      <c r="A324" s="49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2.75" customHeight="1">
      <c r="A325" s="49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2.75" customHeight="1">
      <c r="A326" s="49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2.75" customHeight="1">
      <c r="A327" s="49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2.75" customHeight="1">
      <c r="A328" s="49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2.75" customHeight="1">
      <c r="A329" s="49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2.75" customHeight="1">
      <c r="A330" s="49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2.75" customHeight="1">
      <c r="A331" s="49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2.75" customHeight="1">
      <c r="A332" s="49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2.75" customHeight="1">
      <c r="A333" s="49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2.75" customHeight="1">
      <c r="A334" s="49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2.75" customHeight="1">
      <c r="A335" s="49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2.75" customHeight="1">
      <c r="A336" s="49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2.75" customHeight="1">
      <c r="A337" s="49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2.75" customHeight="1">
      <c r="A338" s="49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2.75" customHeight="1">
      <c r="A339" s="49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2.75" customHeight="1">
      <c r="A340" s="49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2.75" customHeight="1">
      <c r="A341" s="49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2.75" customHeight="1">
      <c r="A342" s="49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2.75" customHeight="1">
      <c r="A343" s="49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2.75" customHeight="1">
      <c r="A344" s="49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2.75" customHeight="1">
      <c r="A345" s="49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2.75" customHeight="1">
      <c r="A346" s="49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2.75" customHeight="1">
      <c r="A347" s="49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2.75" customHeight="1">
      <c r="A348" s="49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2.75" customHeight="1">
      <c r="A349" s="49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2.75" customHeight="1">
      <c r="A350" s="49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2.75" customHeight="1">
      <c r="A351" s="49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2.75" customHeight="1">
      <c r="A352" s="49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2.75" customHeight="1">
      <c r="A353" s="49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2.75" customHeight="1">
      <c r="A354" s="49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2.75" customHeight="1">
      <c r="A355" s="49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2.75" customHeight="1">
      <c r="A356" s="49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2.75" customHeight="1">
      <c r="A357" s="49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2.75" customHeight="1">
      <c r="A358" s="49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2.75" customHeight="1">
      <c r="A359" s="49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2.75" customHeight="1">
      <c r="A360" s="49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2.75" customHeight="1">
      <c r="A361" s="49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2.75" customHeight="1">
      <c r="A362" s="49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2.75" customHeight="1">
      <c r="A363" s="49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2.75" customHeight="1">
      <c r="A364" s="49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2.75" customHeight="1">
      <c r="A365" s="49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2.75" customHeight="1">
      <c r="A366" s="49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2.75" customHeight="1">
      <c r="A367" s="49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2.75" customHeight="1">
      <c r="A368" s="49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2.75" customHeight="1">
      <c r="A369" s="49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2.75" customHeight="1">
      <c r="A370" s="49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2.75" customHeight="1">
      <c r="A371" s="49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2.75" customHeight="1">
      <c r="A372" s="49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2.75" customHeight="1">
      <c r="A373" s="49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2.75" customHeight="1">
      <c r="A374" s="49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2.75" customHeight="1">
      <c r="A375" s="49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2.75" customHeight="1">
      <c r="A376" s="49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2.75" customHeight="1">
      <c r="A377" s="49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2.75" customHeight="1">
      <c r="A378" s="49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2.75" customHeight="1">
      <c r="A379" s="49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2.75" customHeight="1">
      <c r="A380" s="49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2.75" customHeight="1">
      <c r="A381" s="49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2.75" customHeight="1">
      <c r="A382" s="49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2.75" customHeight="1">
      <c r="A383" s="49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2.75" customHeight="1">
      <c r="A384" s="49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2.75" customHeight="1">
      <c r="A385" s="49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2.75" customHeight="1">
      <c r="A386" s="49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2.75" customHeight="1">
      <c r="A387" s="49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2.75" customHeight="1">
      <c r="A388" s="49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2.75" customHeight="1">
      <c r="A389" s="49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2.75" customHeight="1">
      <c r="A390" s="49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2.75" customHeight="1">
      <c r="A391" s="49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2.75" customHeight="1">
      <c r="A392" s="49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2.75" customHeight="1">
      <c r="A393" s="49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2.75" customHeight="1">
      <c r="A394" s="49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2.75" customHeight="1">
      <c r="A395" s="49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2.75" customHeight="1">
      <c r="A396" s="49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2.75" customHeight="1">
      <c r="A397" s="49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2.75" customHeight="1">
      <c r="A398" s="49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2.75" customHeight="1">
      <c r="A399" s="49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2.75" customHeight="1">
      <c r="A400" s="49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2.75" customHeight="1">
      <c r="A401" s="49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2.75" customHeight="1">
      <c r="A402" s="49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2.75" customHeight="1">
      <c r="A403" s="49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2.75" customHeight="1">
      <c r="A404" s="49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2.75" customHeight="1">
      <c r="A405" s="49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2.75" customHeight="1">
      <c r="A406" s="49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2.75" customHeight="1">
      <c r="A407" s="49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2.75" customHeight="1">
      <c r="A408" s="49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2.75" customHeight="1">
      <c r="A409" s="49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2.75" customHeight="1">
      <c r="A410" s="49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2.75" customHeight="1">
      <c r="A411" s="49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2.75" customHeight="1">
      <c r="A412" s="49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2.75" customHeight="1">
      <c r="A413" s="49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2.75" customHeight="1">
      <c r="A414" s="49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2.75" customHeight="1">
      <c r="A415" s="49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2.75" customHeight="1">
      <c r="A416" s="49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2.75" customHeight="1">
      <c r="A417" s="49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2.75" customHeight="1">
      <c r="A418" s="49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2.75" customHeight="1">
      <c r="A419" s="49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2.75" customHeight="1">
      <c r="A420" s="49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2.75" customHeight="1">
      <c r="A421" s="49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2.75" customHeight="1">
      <c r="A422" s="49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2.75" customHeight="1">
      <c r="A423" s="49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2.75" customHeight="1">
      <c r="A424" s="49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2.75" customHeight="1">
      <c r="A425" s="49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2.75" customHeight="1">
      <c r="A426" s="49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2.75" customHeight="1">
      <c r="A427" s="49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2.75" customHeight="1">
      <c r="A428" s="49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2.75" customHeight="1">
      <c r="A429" s="49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2.75" customHeight="1">
      <c r="A430" s="49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2.75" customHeight="1">
      <c r="A431" s="49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2.75" customHeight="1">
      <c r="A432" s="49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2.75" customHeight="1">
      <c r="A433" s="49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2.75" customHeight="1">
      <c r="A434" s="49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2.75" customHeight="1">
      <c r="A435" s="49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2.75" customHeight="1">
      <c r="A436" s="49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2.75" customHeight="1">
      <c r="A437" s="49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2.75" customHeight="1">
      <c r="A438" s="49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2.75" customHeight="1">
      <c r="A439" s="49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2.75" customHeight="1">
      <c r="A440" s="49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2.75" customHeight="1">
      <c r="A441" s="49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2.75" customHeight="1">
      <c r="A442" s="49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2.75" customHeight="1">
      <c r="A443" s="49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2.75" customHeight="1">
      <c r="A444" s="49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2.75" customHeight="1">
      <c r="A445" s="49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2.75" customHeight="1">
      <c r="A446" s="49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2.75" customHeight="1">
      <c r="A447" s="49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2.75" customHeight="1">
      <c r="A448" s="49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2.75" customHeight="1">
      <c r="A449" s="49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2.75" customHeight="1">
      <c r="A450" s="49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2.75" customHeight="1">
      <c r="A451" s="49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2.75" customHeight="1">
      <c r="A452" s="49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2.75" customHeight="1">
      <c r="A453" s="49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2.75" customHeight="1">
      <c r="A454" s="49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2.75" customHeight="1">
      <c r="A455" s="49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2.75" customHeight="1">
      <c r="A456" s="49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2.75" customHeight="1">
      <c r="A457" s="49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2.75" customHeight="1">
      <c r="A458" s="49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2.75" customHeight="1">
      <c r="A459" s="49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2.75" customHeight="1">
      <c r="A460" s="49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2.75" customHeight="1">
      <c r="A461" s="49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2.75" customHeight="1">
      <c r="A462" s="49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2.75" customHeight="1">
      <c r="A463" s="49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2.75" customHeight="1">
      <c r="A464" s="49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2.75" customHeight="1">
      <c r="A465" s="49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2.75" customHeight="1">
      <c r="A466" s="49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2.75" customHeight="1">
      <c r="A467" s="49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2.75" customHeight="1">
      <c r="A468" s="49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2.75" customHeight="1">
      <c r="A469" s="49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2.75" customHeight="1">
      <c r="A470" s="49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2.75" customHeight="1">
      <c r="A471" s="49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2.75" customHeight="1">
      <c r="A472" s="49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2.75" customHeight="1">
      <c r="A473" s="49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2.75" customHeight="1">
      <c r="A474" s="49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2.75" customHeight="1">
      <c r="A475" s="49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2.75" customHeight="1">
      <c r="A476" s="49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2.75" customHeight="1">
      <c r="A477" s="49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2.75" customHeight="1">
      <c r="A478" s="49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2.75" customHeight="1">
      <c r="A479" s="49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2.75" customHeight="1">
      <c r="A480" s="49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2.75" customHeight="1">
      <c r="A481" s="49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2.75" customHeight="1">
      <c r="A482" s="49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2.75" customHeight="1">
      <c r="A483" s="49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2.75" customHeight="1">
      <c r="A484" s="49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2.75" customHeight="1">
      <c r="A485" s="49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2.75" customHeight="1">
      <c r="A486" s="49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2.75" customHeight="1">
      <c r="A487" s="49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2.75" customHeight="1">
      <c r="A488" s="49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2.75" customHeight="1">
      <c r="A489" s="49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2.75" customHeight="1">
      <c r="A490" s="49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2.75" customHeight="1">
      <c r="A491" s="49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2.75" customHeight="1">
      <c r="A492" s="49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2.75" customHeight="1">
      <c r="A493" s="49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2.75" customHeight="1">
      <c r="A494" s="49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2.75" customHeight="1">
      <c r="A495" s="49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2.75" customHeight="1">
      <c r="A496" s="49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2.75" customHeight="1">
      <c r="A497" s="49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2.75" customHeight="1">
      <c r="A498" s="49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2.75" customHeight="1">
      <c r="A499" s="49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2.75" customHeight="1">
      <c r="A500" s="49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2.75" customHeight="1">
      <c r="A501" s="49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2.75" customHeight="1">
      <c r="A502" s="49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2.75" customHeight="1">
      <c r="A503" s="49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2.75" customHeight="1">
      <c r="A504" s="49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2.75" customHeight="1">
      <c r="A505" s="49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2.75" customHeight="1">
      <c r="A506" s="49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2.75" customHeight="1">
      <c r="A507" s="49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2.75" customHeight="1">
      <c r="A508" s="49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2.75" customHeight="1">
      <c r="A509" s="49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2.75" customHeight="1">
      <c r="A510" s="49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2.75" customHeight="1">
      <c r="A511" s="49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2.75" customHeight="1">
      <c r="A512" s="49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2.75" customHeight="1">
      <c r="A513" s="49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2.75" customHeight="1">
      <c r="A514" s="49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2.75" customHeight="1">
      <c r="A515" s="49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2.75" customHeight="1">
      <c r="A516" s="49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2.75" customHeight="1">
      <c r="A517" s="49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2.75" customHeight="1">
      <c r="A518" s="49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2.75" customHeight="1">
      <c r="A519" s="49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2.75" customHeight="1">
      <c r="A520" s="49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2.75" customHeight="1">
      <c r="A521" s="49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2.75" customHeight="1">
      <c r="A522" s="49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2.75" customHeight="1">
      <c r="A523" s="49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2.75" customHeight="1">
      <c r="A524" s="49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2.75" customHeight="1">
      <c r="A525" s="49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2.75" customHeight="1">
      <c r="A526" s="49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2.75" customHeight="1">
      <c r="A527" s="49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2.75" customHeight="1">
      <c r="A528" s="49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2.75" customHeight="1">
      <c r="A529" s="49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2.75" customHeight="1">
      <c r="A530" s="49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2.75" customHeight="1">
      <c r="A531" s="49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2.75" customHeight="1">
      <c r="A532" s="49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2.75" customHeight="1">
      <c r="A533" s="49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2.75" customHeight="1">
      <c r="A534" s="49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2.75" customHeight="1">
      <c r="A535" s="49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2.75" customHeight="1">
      <c r="A536" s="49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2.75" customHeight="1">
      <c r="A537" s="49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2.75" customHeight="1">
      <c r="A538" s="49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2.75" customHeight="1">
      <c r="A539" s="49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2.75" customHeight="1">
      <c r="A540" s="49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2.75" customHeight="1">
      <c r="A541" s="49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2.75" customHeight="1">
      <c r="A542" s="49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2.75" customHeight="1">
      <c r="A543" s="49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2.75" customHeight="1">
      <c r="A544" s="49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2.75" customHeight="1">
      <c r="A545" s="49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2.75" customHeight="1">
      <c r="A546" s="49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2.75" customHeight="1">
      <c r="A547" s="49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2.75" customHeight="1">
      <c r="A548" s="49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2.75" customHeight="1">
      <c r="A549" s="49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2.75" customHeight="1">
      <c r="A550" s="49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2.75" customHeight="1">
      <c r="A551" s="49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2.75" customHeight="1">
      <c r="A552" s="49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2.75" customHeight="1">
      <c r="A553" s="49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2.75" customHeight="1">
      <c r="A554" s="49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2.75" customHeight="1">
      <c r="A555" s="49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2.75" customHeight="1">
      <c r="A556" s="49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2.75" customHeight="1">
      <c r="A557" s="49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2.75" customHeight="1">
      <c r="A558" s="49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2.75" customHeight="1">
      <c r="A559" s="49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2.75" customHeight="1">
      <c r="A560" s="49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2.75" customHeight="1">
      <c r="A561" s="49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2.75" customHeight="1">
      <c r="A562" s="49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2.75" customHeight="1">
      <c r="A563" s="49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2.75" customHeight="1">
      <c r="A564" s="49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2.75" customHeight="1">
      <c r="A565" s="49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2.75" customHeight="1">
      <c r="A566" s="49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2.75" customHeight="1">
      <c r="A567" s="49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2.75" customHeight="1">
      <c r="A568" s="49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2.75" customHeight="1">
      <c r="A569" s="49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2.75" customHeight="1">
      <c r="A570" s="49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2.75" customHeight="1">
      <c r="A571" s="49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2.75" customHeight="1">
      <c r="A572" s="49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2.75" customHeight="1">
      <c r="A573" s="49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2.75" customHeight="1">
      <c r="A574" s="49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2.75" customHeight="1">
      <c r="A575" s="49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2.75" customHeight="1">
      <c r="A576" s="49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2.75" customHeight="1">
      <c r="A577" s="49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2.75" customHeight="1">
      <c r="A578" s="49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2.75" customHeight="1">
      <c r="A579" s="49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2.75" customHeight="1">
      <c r="A580" s="49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2.75" customHeight="1">
      <c r="A581" s="49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2.75" customHeight="1">
      <c r="A582" s="49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2.75" customHeight="1">
      <c r="A583" s="49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2.75" customHeight="1">
      <c r="A584" s="49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2.75" customHeight="1">
      <c r="A585" s="49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2.75" customHeight="1">
      <c r="A586" s="49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2.75" customHeight="1">
      <c r="A587" s="49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2.75" customHeight="1">
      <c r="A588" s="49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2.75" customHeight="1">
      <c r="A589" s="49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2.75" customHeight="1">
      <c r="A590" s="49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2.75" customHeight="1">
      <c r="A591" s="49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2.75" customHeight="1">
      <c r="A592" s="49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2.75" customHeight="1">
      <c r="A593" s="49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2.75" customHeight="1">
      <c r="A594" s="49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2.75" customHeight="1">
      <c r="A595" s="49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2.75" customHeight="1">
      <c r="A596" s="49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2.75" customHeight="1">
      <c r="A597" s="49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2.75" customHeight="1">
      <c r="A598" s="49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2.75" customHeight="1">
      <c r="A599" s="49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2.75" customHeight="1">
      <c r="A600" s="49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2.75" customHeight="1">
      <c r="A601" s="49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2.75" customHeight="1">
      <c r="A602" s="49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2.75" customHeight="1">
      <c r="A603" s="49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2.75" customHeight="1">
      <c r="A604" s="49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2.75" customHeight="1">
      <c r="A605" s="49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2.75" customHeight="1">
      <c r="A606" s="49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2.75" customHeight="1">
      <c r="A607" s="49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2.75" customHeight="1">
      <c r="A608" s="49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2.75" customHeight="1">
      <c r="A609" s="49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2.75" customHeight="1">
      <c r="A610" s="49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2.75" customHeight="1">
      <c r="A611" s="49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2.75" customHeight="1">
      <c r="A612" s="49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2.75" customHeight="1">
      <c r="A613" s="49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2.75" customHeight="1">
      <c r="A614" s="49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2.75" customHeight="1">
      <c r="A615" s="49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2.75" customHeight="1">
      <c r="A616" s="49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2.75" customHeight="1">
      <c r="A617" s="49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2.75" customHeight="1">
      <c r="A618" s="49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2.75" customHeight="1">
      <c r="A619" s="49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2.75" customHeight="1">
      <c r="A620" s="49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2.75" customHeight="1">
      <c r="A621" s="49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2.75" customHeight="1">
      <c r="A622" s="49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2.75" customHeight="1">
      <c r="A623" s="49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2.75" customHeight="1">
      <c r="A624" s="49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2.75" customHeight="1">
      <c r="A625" s="49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2.75" customHeight="1">
      <c r="A626" s="49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2.75" customHeight="1">
      <c r="A627" s="49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2.75" customHeight="1">
      <c r="A628" s="49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2.75" customHeight="1">
      <c r="A629" s="49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2.75" customHeight="1">
      <c r="A630" s="49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2.75" customHeight="1">
      <c r="A631" s="49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2.75" customHeight="1">
      <c r="A632" s="49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2.75" customHeight="1">
      <c r="A633" s="49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2.75" customHeight="1">
      <c r="A634" s="49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2.75" customHeight="1">
      <c r="A635" s="49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2.75" customHeight="1">
      <c r="A636" s="49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2.75" customHeight="1">
      <c r="A637" s="49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2.75" customHeight="1">
      <c r="A638" s="49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2.75" customHeight="1">
      <c r="A639" s="49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2.75" customHeight="1">
      <c r="A640" s="49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2.75" customHeight="1">
      <c r="A641" s="49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2.75" customHeight="1">
      <c r="A642" s="49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2.75" customHeight="1">
      <c r="A643" s="49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2.75" customHeight="1">
      <c r="A644" s="49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2.75" customHeight="1">
      <c r="A645" s="49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2.75" customHeight="1">
      <c r="A646" s="49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2.75" customHeight="1">
      <c r="A647" s="49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2.75" customHeight="1">
      <c r="A648" s="49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2.75" customHeight="1">
      <c r="A649" s="49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2.75" customHeight="1">
      <c r="A650" s="49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2.75" customHeight="1">
      <c r="A651" s="49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2.75" customHeight="1">
      <c r="A652" s="49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2.75" customHeight="1">
      <c r="A653" s="49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2.75" customHeight="1">
      <c r="A654" s="49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2.75" customHeight="1">
      <c r="A655" s="49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2.75" customHeight="1">
      <c r="A656" s="49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2.75" customHeight="1">
      <c r="A657" s="49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2.75" customHeight="1">
      <c r="A658" s="49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2.75" customHeight="1">
      <c r="A659" s="49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2.75" customHeight="1">
      <c r="A660" s="49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2.75" customHeight="1">
      <c r="A661" s="49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2.75" customHeight="1">
      <c r="A662" s="49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2.75" customHeight="1">
      <c r="A663" s="49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2.75" customHeight="1">
      <c r="A664" s="49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2.75" customHeight="1">
      <c r="A665" s="49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2.75" customHeight="1">
      <c r="A666" s="49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2.75" customHeight="1">
      <c r="A667" s="49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2.75" customHeight="1">
      <c r="A668" s="49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2.75" customHeight="1">
      <c r="A669" s="49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2.75" customHeight="1">
      <c r="A670" s="49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2.75" customHeight="1">
      <c r="A671" s="49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2.75" customHeight="1">
      <c r="A672" s="49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2.75" customHeight="1">
      <c r="A673" s="49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2.75" customHeight="1">
      <c r="A674" s="49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2.75" customHeight="1">
      <c r="A675" s="49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2.75" customHeight="1">
      <c r="A676" s="49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2.75" customHeight="1">
      <c r="A677" s="49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2.75" customHeight="1">
      <c r="A678" s="49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2.75" customHeight="1">
      <c r="A679" s="49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2.75" customHeight="1">
      <c r="A680" s="49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2.75" customHeight="1">
      <c r="A681" s="49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2.75" customHeight="1">
      <c r="A682" s="49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2.75" customHeight="1">
      <c r="A683" s="49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2.75" customHeight="1">
      <c r="A684" s="49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2.75" customHeight="1">
      <c r="A685" s="49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2.75" customHeight="1">
      <c r="A686" s="49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2.75" customHeight="1">
      <c r="A687" s="49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2.75" customHeight="1">
      <c r="A688" s="49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2.75" customHeight="1">
      <c r="A689" s="49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2.75" customHeight="1">
      <c r="A690" s="49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2.75" customHeight="1">
      <c r="A691" s="49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2.75" customHeight="1">
      <c r="A692" s="49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2.75" customHeight="1">
      <c r="A693" s="49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2.75" customHeight="1">
      <c r="A694" s="49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2.75" customHeight="1">
      <c r="A695" s="49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2.75" customHeight="1">
      <c r="A696" s="49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2.75" customHeight="1">
      <c r="A697" s="49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2.75" customHeight="1">
      <c r="A698" s="49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2.75" customHeight="1">
      <c r="A699" s="49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2.75" customHeight="1">
      <c r="A700" s="49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2.75" customHeight="1">
      <c r="A701" s="49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2.75" customHeight="1">
      <c r="A702" s="49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2.75" customHeight="1">
      <c r="A703" s="49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2.75" customHeight="1">
      <c r="A704" s="49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2.75" customHeight="1">
      <c r="A705" s="49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2.75" customHeight="1">
      <c r="A706" s="49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2.75" customHeight="1">
      <c r="A707" s="49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2.75" customHeight="1">
      <c r="A708" s="49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2.75" customHeight="1">
      <c r="A709" s="49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2.75" customHeight="1">
      <c r="A710" s="49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2.75" customHeight="1">
      <c r="A711" s="49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2.75" customHeight="1">
      <c r="A712" s="49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2.75" customHeight="1">
      <c r="A713" s="49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2.75" customHeight="1">
      <c r="A714" s="49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2.75" customHeight="1">
      <c r="A715" s="49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2.75" customHeight="1">
      <c r="A716" s="49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2.75" customHeight="1">
      <c r="A717" s="49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2.75" customHeight="1">
      <c r="A718" s="49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2.75" customHeight="1">
      <c r="A719" s="49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2.75" customHeight="1">
      <c r="A720" s="49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2.75" customHeight="1">
      <c r="A721" s="49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2.75" customHeight="1">
      <c r="A722" s="49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2.75" customHeight="1">
      <c r="A723" s="49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2.75" customHeight="1">
      <c r="A724" s="49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2.75" customHeight="1">
      <c r="A725" s="49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2.75" customHeight="1">
      <c r="A726" s="49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2.75" customHeight="1">
      <c r="A727" s="49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2.75" customHeight="1">
      <c r="A728" s="49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2.75" customHeight="1">
      <c r="A729" s="49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2.75" customHeight="1">
      <c r="A730" s="49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2.75" customHeight="1">
      <c r="A731" s="49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2.75" customHeight="1">
      <c r="A732" s="49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2.75" customHeight="1">
      <c r="A733" s="49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2.75" customHeight="1">
      <c r="A734" s="49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2.75" customHeight="1">
      <c r="A735" s="49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2.75" customHeight="1">
      <c r="A736" s="49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2.75" customHeight="1">
      <c r="A737" s="49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2.75" customHeight="1">
      <c r="A738" s="49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2.75" customHeight="1">
      <c r="A739" s="49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2.75" customHeight="1">
      <c r="A740" s="49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2.75" customHeight="1">
      <c r="A741" s="49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2.75" customHeight="1">
      <c r="A742" s="49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2.75" customHeight="1">
      <c r="A743" s="49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2.75" customHeight="1">
      <c r="A744" s="49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2.75" customHeight="1">
      <c r="A745" s="49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2.75" customHeight="1">
      <c r="A746" s="49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2.75" customHeight="1">
      <c r="A747" s="49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2.75" customHeight="1">
      <c r="A748" s="49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2.75" customHeight="1">
      <c r="A749" s="49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2.75" customHeight="1">
      <c r="A750" s="49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2.75" customHeight="1">
      <c r="A751" s="49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2.75" customHeight="1">
      <c r="A752" s="49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2.75" customHeight="1">
      <c r="A753" s="49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2.75" customHeight="1">
      <c r="A754" s="49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2.75" customHeight="1">
      <c r="A755" s="49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2.75" customHeight="1">
      <c r="A756" s="49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2.75" customHeight="1">
      <c r="A757" s="49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2.75" customHeight="1">
      <c r="A758" s="49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2.75" customHeight="1">
      <c r="A759" s="49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2.75" customHeight="1">
      <c r="A760" s="49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2.75" customHeight="1">
      <c r="A761" s="49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2.75" customHeight="1">
      <c r="A762" s="49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2.75" customHeight="1">
      <c r="A763" s="49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2.75" customHeight="1">
      <c r="A764" s="49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2.75" customHeight="1">
      <c r="A765" s="49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2.75" customHeight="1">
      <c r="A766" s="49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2.75" customHeight="1">
      <c r="A767" s="49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2.75" customHeight="1">
      <c r="A768" s="49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2.75" customHeight="1">
      <c r="A769" s="49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2.75" customHeight="1">
      <c r="A770" s="49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2.75" customHeight="1">
      <c r="A771" s="49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2.75" customHeight="1">
      <c r="A772" s="49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2.75" customHeight="1">
      <c r="A773" s="49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2.75" customHeight="1">
      <c r="A774" s="49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2.75" customHeight="1">
      <c r="A775" s="49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2.75" customHeight="1">
      <c r="A776" s="49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2.75" customHeight="1">
      <c r="A777" s="49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2.75" customHeight="1">
      <c r="A778" s="49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2.75" customHeight="1">
      <c r="A779" s="49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2.75" customHeight="1">
      <c r="A780" s="49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2.75" customHeight="1">
      <c r="A781" s="49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2.75" customHeight="1">
      <c r="A782" s="49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2.75" customHeight="1">
      <c r="A783" s="49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2.75" customHeight="1">
      <c r="A784" s="49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2.75" customHeight="1">
      <c r="A785" s="49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2.75" customHeight="1">
      <c r="A786" s="49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2.75" customHeight="1">
      <c r="A787" s="49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2.75" customHeight="1">
      <c r="A788" s="49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2.75" customHeight="1">
      <c r="A789" s="49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2.75" customHeight="1">
      <c r="A790" s="49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2.75" customHeight="1">
      <c r="A791" s="49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2.75" customHeight="1">
      <c r="A792" s="49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2.75" customHeight="1">
      <c r="A793" s="49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2.75" customHeight="1">
      <c r="A794" s="49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2.75" customHeight="1">
      <c r="A795" s="49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2.75" customHeight="1">
      <c r="A796" s="49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2.75" customHeight="1">
      <c r="A797" s="49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2.75" customHeight="1">
      <c r="A798" s="49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2.75" customHeight="1">
      <c r="A799" s="49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2.75" customHeight="1">
      <c r="A800" s="49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2.75" customHeight="1">
      <c r="A801" s="49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2.75" customHeight="1">
      <c r="A802" s="49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2.75" customHeight="1">
      <c r="A803" s="49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2.75" customHeight="1">
      <c r="A804" s="49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2.75" customHeight="1">
      <c r="A805" s="49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2.75" customHeight="1">
      <c r="A806" s="49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2.75" customHeight="1">
      <c r="A807" s="49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2.75" customHeight="1">
      <c r="A808" s="49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2.75" customHeight="1">
      <c r="A809" s="49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2.75" customHeight="1">
      <c r="A810" s="49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2.75" customHeight="1">
      <c r="A811" s="49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2.75" customHeight="1">
      <c r="A812" s="49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2.75" customHeight="1">
      <c r="A813" s="49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2.75" customHeight="1">
      <c r="A814" s="49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2.75" customHeight="1">
      <c r="A815" s="49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2.75" customHeight="1">
      <c r="A816" s="49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2.75" customHeight="1">
      <c r="A817" s="49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2.75" customHeight="1">
      <c r="A818" s="49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2.75" customHeight="1">
      <c r="A819" s="49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2.75" customHeight="1">
      <c r="A820" s="49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2.75" customHeight="1">
      <c r="A821" s="49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2.75" customHeight="1">
      <c r="A822" s="49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2.75" customHeight="1">
      <c r="A823" s="49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2.75" customHeight="1">
      <c r="A824" s="49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2.75" customHeight="1">
      <c r="A825" s="49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2.75" customHeight="1">
      <c r="A826" s="49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2.75" customHeight="1">
      <c r="A827" s="49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2.75" customHeight="1">
      <c r="A828" s="49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2.75" customHeight="1">
      <c r="A829" s="49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2.75" customHeight="1">
      <c r="A830" s="49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2.75" customHeight="1">
      <c r="A831" s="49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2.75" customHeight="1">
      <c r="A832" s="49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2.75" customHeight="1">
      <c r="A833" s="49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2.75" customHeight="1">
      <c r="A834" s="49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2.75" customHeight="1">
      <c r="A835" s="49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2.75" customHeight="1">
      <c r="A836" s="49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2.75" customHeight="1">
      <c r="A837" s="49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2.75" customHeight="1">
      <c r="A838" s="49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2.75" customHeight="1">
      <c r="A839" s="49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2.75" customHeight="1">
      <c r="A840" s="49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2.75" customHeight="1">
      <c r="A841" s="49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2.75" customHeight="1">
      <c r="A842" s="49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2.75" customHeight="1">
      <c r="A843" s="49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2.75" customHeight="1">
      <c r="A844" s="49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2.75" customHeight="1">
      <c r="A845" s="49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2.75" customHeight="1">
      <c r="A846" s="49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2.75" customHeight="1">
      <c r="A847" s="49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2.75" customHeight="1">
      <c r="A848" s="49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2.75" customHeight="1">
      <c r="A849" s="49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2.75" customHeight="1">
      <c r="A850" s="49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2.75" customHeight="1">
      <c r="A851" s="49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2.75" customHeight="1">
      <c r="A852" s="49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2.75" customHeight="1">
      <c r="A853" s="49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2.75" customHeight="1">
      <c r="A854" s="49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2.75" customHeight="1">
      <c r="A855" s="49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2.75" customHeight="1">
      <c r="A856" s="49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2.75" customHeight="1">
      <c r="A857" s="49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2.75" customHeight="1">
      <c r="A858" s="49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2.75" customHeight="1">
      <c r="A859" s="49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2.75" customHeight="1">
      <c r="A860" s="49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2.75" customHeight="1">
      <c r="A861" s="49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2.75" customHeight="1">
      <c r="A862" s="49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2.75" customHeight="1">
      <c r="A863" s="49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2.75" customHeight="1">
      <c r="A864" s="49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2.75" customHeight="1">
      <c r="A865" s="49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2.75" customHeight="1">
      <c r="A866" s="49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2.75" customHeight="1">
      <c r="A867" s="49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2.75" customHeight="1">
      <c r="A868" s="49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2.75" customHeight="1">
      <c r="A869" s="49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2.75" customHeight="1">
      <c r="A870" s="49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2.75" customHeight="1">
      <c r="A871" s="49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2.75" customHeight="1">
      <c r="A872" s="49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2.75" customHeight="1">
      <c r="A873" s="49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2.75" customHeight="1">
      <c r="A874" s="49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2.75" customHeight="1">
      <c r="A875" s="49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2.75" customHeight="1">
      <c r="A876" s="49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2.75" customHeight="1">
      <c r="A877" s="49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2.75" customHeight="1">
      <c r="A878" s="49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2.75" customHeight="1">
      <c r="A879" s="49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2.75" customHeight="1">
      <c r="A880" s="49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2.75" customHeight="1">
      <c r="A881" s="49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2.75" customHeight="1">
      <c r="A882" s="49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2.75" customHeight="1">
      <c r="A883" s="49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2.75" customHeight="1">
      <c r="A884" s="49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2.75" customHeight="1">
      <c r="A885" s="49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2.75" customHeight="1">
      <c r="A886" s="49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2.75" customHeight="1">
      <c r="A887" s="49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2.75" customHeight="1">
      <c r="A888" s="49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2.75" customHeight="1">
      <c r="A889" s="49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2.75" customHeight="1">
      <c r="A890" s="49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2.75" customHeight="1">
      <c r="A891" s="49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2.75" customHeight="1">
      <c r="A892" s="49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2.75" customHeight="1">
      <c r="A893" s="49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2.75" customHeight="1">
      <c r="A894" s="49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2.75" customHeight="1">
      <c r="A895" s="49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2.75" customHeight="1">
      <c r="A896" s="49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2.75" customHeight="1">
      <c r="A897" s="49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2.75" customHeight="1">
      <c r="A898" s="49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2.75" customHeight="1">
      <c r="A899" s="49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2.75" customHeight="1">
      <c r="A900" s="49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2.75" customHeight="1">
      <c r="A901" s="49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2.75" customHeight="1">
      <c r="A902" s="49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2.75" customHeight="1">
      <c r="A903" s="49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2.75" customHeight="1">
      <c r="A904" s="49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2.75" customHeight="1">
      <c r="A905" s="49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2.75" customHeight="1">
      <c r="A906" s="49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2.75" customHeight="1">
      <c r="A907" s="49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2.75" customHeight="1">
      <c r="A908" s="49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2.75" customHeight="1">
      <c r="A909" s="49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2.75" customHeight="1">
      <c r="A910" s="49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2.75" customHeight="1">
      <c r="A911" s="49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2.75" customHeight="1">
      <c r="A912" s="49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2.75" customHeight="1">
      <c r="A913" s="49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2.75" customHeight="1">
      <c r="A914" s="49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2.75" customHeight="1">
      <c r="A915" s="49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2.75" customHeight="1">
      <c r="A916" s="49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2.75" customHeight="1">
      <c r="A917" s="49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2.75" customHeight="1">
      <c r="A918" s="49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2.75" customHeight="1">
      <c r="A919" s="49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2.75" customHeight="1">
      <c r="A920" s="49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2.75" customHeight="1">
      <c r="A921" s="49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2.75" customHeight="1">
      <c r="A922" s="49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2.75" customHeight="1">
      <c r="A923" s="49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2.75" customHeight="1">
      <c r="A924" s="49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2.75" customHeight="1">
      <c r="A925" s="49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2.75" customHeight="1">
      <c r="A926" s="49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2.75" customHeight="1">
      <c r="A927" s="49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2.75" customHeight="1">
      <c r="A928" s="49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2.75" customHeight="1">
      <c r="A929" s="49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2.75" customHeight="1">
      <c r="A930" s="49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2.75" customHeight="1">
      <c r="A931" s="49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2.75" customHeight="1">
      <c r="A932" s="49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2.75" customHeight="1">
      <c r="A933" s="49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2.75" customHeight="1">
      <c r="A934" s="49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2.75" customHeight="1">
      <c r="A935" s="49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2.75" customHeight="1">
      <c r="A936" s="49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2.75" customHeight="1">
      <c r="A937" s="49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2.75" customHeight="1">
      <c r="A938" s="49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2.75" customHeight="1">
      <c r="A939" s="49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2.75" customHeight="1">
      <c r="A940" s="49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2.75" customHeight="1">
      <c r="A941" s="49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2.75" customHeight="1">
      <c r="A942" s="49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2.75" customHeight="1">
      <c r="A943" s="49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2.75" customHeight="1">
      <c r="A944" s="49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2.75" customHeight="1">
      <c r="A945" s="49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2.75" customHeight="1">
      <c r="A946" s="49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2.75" customHeight="1">
      <c r="A947" s="49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2.75" customHeight="1">
      <c r="A948" s="49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2.75" customHeight="1">
      <c r="A949" s="49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2.75" customHeight="1">
      <c r="A950" s="49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2.75" customHeight="1">
      <c r="A951" s="49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2.75" customHeight="1">
      <c r="A952" s="49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2.75" customHeight="1">
      <c r="A953" s="49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2.75" customHeight="1">
      <c r="A954" s="49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2.75" customHeight="1">
      <c r="A955" s="49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2.75" customHeight="1">
      <c r="A956" s="49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2.75" customHeight="1">
      <c r="A957" s="49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2.75" customHeight="1">
      <c r="A958" s="49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2.75" customHeight="1">
      <c r="A959" s="49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2.75" customHeight="1">
      <c r="A960" s="49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2.75" customHeight="1">
      <c r="A961" s="49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2.75" customHeight="1">
      <c r="A962" s="49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2.75" customHeight="1">
      <c r="A963" s="49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2.75" customHeight="1">
      <c r="A964" s="49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2.75" customHeight="1">
      <c r="A965" s="49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2.75" customHeight="1">
      <c r="A966" s="49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2.75" customHeight="1">
      <c r="A967" s="49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2.75" customHeight="1">
      <c r="A968" s="49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2.75" customHeight="1">
      <c r="A969" s="49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2.75" customHeight="1">
      <c r="A970" s="49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2.75" customHeight="1">
      <c r="A971" s="49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2.75" customHeight="1">
      <c r="A972" s="49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2.75" customHeight="1">
      <c r="A973" s="49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2.75" customHeight="1">
      <c r="A974" s="49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2.75" customHeight="1">
      <c r="A975" s="49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2.75" customHeight="1">
      <c r="A976" s="49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2.75" customHeight="1">
      <c r="A977" s="49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2.75" customHeight="1">
      <c r="A978" s="49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2.75" customHeight="1">
      <c r="A979" s="49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2.75" customHeight="1">
      <c r="A980" s="49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2.75" customHeight="1">
      <c r="A981" s="49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2.75" customHeight="1">
      <c r="A982" s="49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2.75" customHeight="1">
      <c r="A983" s="49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2.75" customHeight="1">
      <c r="A984" s="49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2.75" customHeight="1">
      <c r="A985" s="49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2.75" customHeight="1">
      <c r="A986" s="49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2.75" customHeight="1">
      <c r="A987" s="49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2.75" customHeight="1">
      <c r="A988" s="49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2.75" customHeight="1">
      <c r="A989" s="49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2.75" customHeight="1">
      <c r="A990" s="49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2.75" customHeight="1">
      <c r="A991" s="49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2.75" customHeight="1">
      <c r="A992" s="49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2.75" customHeight="1">
      <c r="A993" s="49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2.75" customHeight="1">
      <c r="A994" s="49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2.75" customHeight="1">
      <c r="A995" s="49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2.75" customHeight="1">
      <c r="A996" s="49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2.75" customHeight="1">
      <c r="A997" s="49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2.75" customHeight="1">
      <c r="A998" s="49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2.75" customHeight="1">
      <c r="A999" s="49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2.75" customHeight="1">
      <c r="A1000" s="49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2024-01-27T22:38:04Z</dcterms:created>
  <dc:creator>Zé Planilha</dc:creator>
</cp:coreProperties>
</file>